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ra\Desktop\backtester\data\"/>
    </mc:Choice>
  </mc:AlternateContent>
  <xr:revisionPtr revIDLastSave="0" documentId="13_ncr:1_{B1473B6D-BBAA-4D2B-B7C4-F5F9A5DDFFE0}" xr6:coauthVersionLast="47" xr6:coauthVersionMax="47" xr10:uidLastSave="{00000000-0000-0000-0000-000000000000}"/>
  <bookViews>
    <workbookView xWindow="3840" yWindow="3240" windowWidth="12975" windowHeight="11835" xr2:uid="{9C0D65A9-1869-47A7-97A0-99A53FE53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6" i="1" l="1"/>
  <c r="H225" i="1"/>
  <c r="H207" i="1"/>
  <c r="H206" i="1"/>
  <c r="H19" i="1"/>
  <c r="H18" i="1"/>
  <c r="H9" i="1"/>
  <c r="H221" i="1"/>
  <c r="H220" i="1"/>
  <c r="H219" i="1"/>
  <c r="H218" i="1"/>
  <c r="H217" i="1"/>
  <c r="H210" i="1"/>
  <c r="H205" i="1"/>
  <c r="H213" i="1"/>
  <c r="H201" i="1"/>
  <c r="H117" i="1"/>
  <c r="H63" i="1"/>
  <c r="H64" i="1"/>
  <c r="H59" i="1"/>
  <c r="H58" i="1"/>
  <c r="H61" i="1"/>
  <c r="H60" i="1"/>
  <c r="H62" i="1"/>
  <c r="H33" i="1"/>
  <c r="H34" i="1"/>
  <c r="H51" i="1"/>
  <c r="H52" i="1"/>
  <c r="H53" i="1"/>
  <c r="H54" i="1"/>
  <c r="H55" i="1"/>
  <c r="H74" i="1"/>
  <c r="H73" i="1"/>
  <c r="H77" i="1"/>
  <c r="H75" i="1"/>
  <c r="H76" i="1"/>
  <c r="H15" i="1"/>
  <c r="H5" i="1"/>
  <c r="H6" i="1"/>
  <c r="H4" i="1"/>
  <c r="H10" i="1"/>
  <c r="H14" i="1"/>
  <c r="H12" i="1"/>
  <c r="H7" i="1"/>
  <c r="H8" i="1"/>
  <c r="H13" i="1"/>
  <c r="H16" i="1"/>
  <c r="H20" i="1"/>
  <c r="H17" i="1"/>
  <c r="H11" i="1"/>
  <c r="H21" i="1"/>
  <c r="H37" i="1"/>
  <c r="H38" i="1"/>
  <c r="H39" i="1"/>
  <c r="H40" i="1"/>
  <c r="H41" i="1"/>
  <c r="H42" i="1"/>
  <c r="H43" i="1"/>
  <c r="H44" i="1"/>
  <c r="H45" i="1"/>
  <c r="H46" i="1"/>
  <c r="H47" i="1"/>
  <c r="H48" i="1"/>
  <c r="H24" i="1"/>
  <c r="H25" i="1"/>
  <c r="H26" i="1"/>
  <c r="H27" i="1"/>
  <c r="H28" i="1"/>
  <c r="H29" i="1"/>
  <c r="H30" i="1"/>
  <c r="H70" i="1"/>
  <c r="H67" i="1"/>
  <c r="H69" i="1"/>
  <c r="H68" i="1"/>
  <c r="H80" i="1"/>
  <c r="H81" i="1"/>
  <c r="H95" i="1"/>
  <c r="H90" i="1"/>
  <c r="H91" i="1"/>
  <c r="H92" i="1"/>
  <c r="H98" i="1"/>
  <c r="H107" i="1"/>
  <c r="H102" i="1"/>
  <c r="H103" i="1"/>
  <c r="H104" i="1"/>
  <c r="H120" i="1"/>
  <c r="H121" i="1"/>
  <c r="H122" i="1"/>
  <c r="H123" i="1"/>
  <c r="H124" i="1"/>
  <c r="H125" i="1"/>
  <c r="H111" i="1"/>
  <c r="H112" i="1"/>
  <c r="H113" i="1"/>
  <c r="H114" i="1"/>
  <c r="H115" i="1"/>
  <c r="H116" i="1"/>
  <c r="H145" i="1"/>
  <c r="H170" i="1"/>
  <c r="H177" i="1"/>
  <c r="H174" i="1"/>
  <c r="H197" i="1"/>
  <c r="H86" i="1"/>
  <c r="H133" i="1"/>
  <c r="H134" i="1"/>
  <c r="H130" i="1"/>
  <c r="H141" i="1"/>
  <c r="H138" i="1"/>
  <c r="H152" i="1"/>
  <c r="H153" i="1"/>
  <c r="H154" i="1"/>
  <c r="H149" i="1"/>
  <c r="H185" i="1"/>
  <c r="H186" i="1"/>
  <c r="H187" i="1"/>
  <c r="H188" i="1"/>
  <c r="H189" i="1"/>
  <c r="H192" i="1"/>
  <c r="H193" i="1"/>
  <c r="H181" i="1"/>
  <c r="H182" i="1"/>
  <c r="H165" i="1"/>
  <c r="H166" i="1"/>
  <c r="H158" i="1"/>
  <c r="H159" i="1"/>
  <c r="H162" i="1"/>
</calcChain>
</file>

<file path=xl/sharedStrings.xml><?xml version="1.0" encoding="utf-8"?>
<sst xmlns="http://schemas.openxmlformats.org/spreadsheetml/2006/main" count="568" uniqueCount="395">
  <si>
    <t>ES</t>
  </si>
  <si>
    <t>CL</t>
  </si>
  <si>
    <t>Natural Gas</t>
  </si>
  <si>
    <t>NG</t>
  </si>
  <si>
    <t>HO</t>
  </si>
  <si>
    <t>GC</t>
  </si>
  <si>
    <t>SI</t>
  </si>
  <si>
    <t>HG</t>
  </si>
  <si>
    <t>Platinum</t>
  </si>
  <si>
    <t>Palladium</t>
  </si>
  <si>
    <t>Soybean Oil</t>
  </si>
  <si>
    <t>Corn</t>
  </si>
  <si>
    <t>PA</t>
  </si>
  <si>
    <t>PL</t>
  </si>
  <si>
    <t>KC</t>
  </si>
  <si>
    <t>CT</t>
  </si>
  <si>
    <t>CC</t>
  </si>
  <si>
    <t>SB</t>
  </si>
  <si>
    <t>Contract</t>
  </si>
  <si>
    <t>Symbol</t>
  </si>
  <si>
    <t>Soybean</t>
  </si>
  <si>
    <t>Soybean Meal</t>
  </si>
  <si>
    <t>RS</t>
  </si>
  <si>
    <t>Live Cattle</t>
  </si>
  <si>
    <t>Feeder Cattle</t>
  </si>
  <si>
    <t>Lean Hogs</t>
  </si>
  <si>
    <t>Sugar #11</t>
  </si>
  <si>
    <t>Cocoa</t>
  </si>
  <si>
    <t>Nikkei 225</t>
  </si>
  <si>
    <t>USD</t>
  </si>
  <si>
    <t>RTY</t>
  </si>
  <si>
    <t>DM</t>
  </si>
  <si>
    <t>Currency</t>
  </si>
  <si>
    <t>Heating Oil</t>
  </si>
  <si>
    <t>Silver</t>
  </si>
  <si>
    <t>Copper</t>
  </si>
  <si>
    <t>Bitcoin</t>
  </si>
  <si>
    <t>BTC</t>
  </si>
  <si>
    <t>Wheat</t>
  </si>
  <si>
    <t>Equity Index</t>
  </si>
  <si>
    <t>Dow Jones Industrial Average Mini</t>
  </si>
  <si>
    <t>CBOE Volatility Index (VIX)</t>
  </si>
  <si>
    <t>UX</t>
  </si>
  <si>
    <t>S&amp;P 500 E-mini</t>
  </si>
  <si>
    <t>S&amp;P MidCap 400 E-mini</t>
  </si>
  <si>
    <t>FA</t>
  </si>
  <si>
    <t>NH</t>
  </si>
  <si>
    <t>Russell 2000 E-mini</t>
  </si>
  <si>
    <t>DCR</t>
  </si>
  <si>
    <t>Energy</t>
  </si>
  <si>
    <t>Brent Oil</t>
  </si>
  <si>
    <t>BZA</t>
  </si>
  <si>
    <t>WTI Oil</t>
  </si>
  <si>
    <t>EC</t>
  </si>
  <si>
    <t>EO</t>
  </si>
  <si>
    <t>Gasoline RBOB</t>
  </si>
  <si>
    <t>XBW</t>
  </si>
  <si>
    <t>Metals and Industrials</t>
  </si>
  <si>
    <t xml:space="preserve">Gold </t>
  </si>
  <si>
    <t>Agriculture and Livestock</t>
  </si>
  <si>
    <t>C</t>
  </si>
  <si>
    <t>Cotton</t>
  </si>
  <si>
    <t>Milk</t>
  </si>
  <si>
    <t>DA</t>
  </si>
  <si>
    <t>Coffee</t>
  </si>
  <si>
    <t>LC</t>
  </si>
  <si>
    <t>FC</t>
  </si>
  <si>
    <t>LH</t>
  </si>
  <si>
    <t>Canola</t>
  </si>
  <si>
    <t>CAD</t>
  </si>
  <si>
    <t>BO</t>
  </si>
  <si>
    <t>S</t>
  </si>
  <si>
    <t>SM</t>
  </si>
  <si>
    <t>Hard Red Winter Wheat</t>
  </si>
  <si>
    <t>KW</t>
  </si>
  <si>
    <t>W</t>
  </si>
  <si>
    <t>Currencies</t>
  </si>
  <si>
    <t>AUD/USD</t>
  </si>
  <si>
    <t>AD</t>
  </si>
  <si>
    <t>GBP/USD</t>
  </si>
  <si>
    <t>BP</t>
  </si>
  <si>
    <t>BRL/USD</t>
  </si>
  <si>
    <t>BR</t>
  </si>
  <si>
    <t>CAD/USD</t>
  </si>
  <si>
    <t>CD</t>
  </si>
  <si>
    <t>EUR/USD</t>
  </si>
  <si>
    <t>JPY/USD</t>
  </si>
  <si>
    <t>JY</t>
  </si>
  <si>
    <t>NZD/USD</t>
  </si>
  <si>
    <t>MXN/USD</t>
  </si>
  <si>
    <t>NV</t>
  </si>
  <si>
    <t>PE</t>
  </si>
  <si>
    <t>ZAR/USD</t>
  </si>
  <si>
    <t>RA</t>
  </si>
  <si>
    <t>RUB/USD</t>
  </si>
  <si>
    <t>CHF/USD</t>
  </si>
  <si>
    <t>RU</t>
  </si>
  <si>
    <t>SF</t>
  </si>
  <si>
    <t>USD Index</t>
  </si>
  <si>
    <t>DX</t>
  </si>
  <si>
    <t>Bonds</t>
  </si>
  <si>
    <t>3Yr Treasury Note</t>
  </si>
  <si>
    <t>5Yr Treasury Note</t>
  </si>
  <si>
    <t>10Yr Treasury Note</t>
  </si>
  <si>
    <t>3Y</t>
  </si>
  <si>
    <t>2Yr Treasury Note</t>
  </si>
  <si>
    <t>TY</t>
  </si>
  <si>
    <t>US Treasury Long Bond</t>
  </si>
  <si>
    <t>US Treasury Ultra Bond</t>
  </si>
  <si>
    <t>US</t>
  </si>
  <si>
    <t>WN</t>
  </si>
  <si>
    <t>US Ultra Treasury Note</t>
  </si>
  <si>
    <t>UXY</t>
  </si>
  <si>
    <t>Interest Rates</t>
  </si>
  <si>
    <t>30 Days FED Fund</t>
  </si>
  <si>
    <t>3m Eurodollar</t>
  </si>
  <si>
    <t>1m SOFR</t>
  </si>
  <si>
    <t>3m SOFR</t>
  </si>
  <si>
    <t>FF</t>
  </si>
  <si>
    <t>ED</t>
  </si>
  <si>
    <t>SER</t>
  </si>
  <si>
    <t>SFR</t>
  </si>
  <si>
    <t>Swap</t>
  </si>
  <si>
    <t>5Yr USD Interest Rate Swap</t>
  </si>
  <si>
    <t>10Yr USD Interest Rate Swap</t>
  </si>
  <si>
    <t>CFP</t>
  </si>
  <si>
    <t>CNP</t>
  </si>
  <si>
    <t>VX</t>
  </si>
  <si>
    <t>YM</t>
  </si>
  <si>
    <t>EMD</t>
  </si>
  <si>
    <t>NIY</t>
  </si>
  <si>
    <t>ETH</t>
  </si>
  <si>
    <t>BZ</t>
  </si>
  <si>
    <t>RB</t>
  </si>
  <si>
    <t>ZC</t>
  </si>
  <si>
    <t>ZS</t>
  </si>
  <si>
    <t>ZW</t>
  </si>
  <si>
    <t>DC</t>
  </si>
  <si>
    <t>LE</t>
  </si>
  <si>
    <t>GF</t>
  </si>
  <si>
    <t>HE</t>
  </si>
  <si>
    <t>ZL</t>
  </si>
  <si>
    <t>ZM</t>
  </si>
  <si>
    <t>KE</t>
  </si>
  <si>
    <t>6A</t>
  </si>
  <si>
    <t>6B</t>
  </si>
  <si>
    <t>6L</t>
  </si>
  <si>
    <t>6C</t>
  </si>
  <si>
    <t>6E</t>
  </si>
  <si>
    <t>6J</t>
  </si>
  <si>
    <t>6N</t>
  </si>
  <si>
    <t>6M</t>
  </si>
  <si>
    <t>6Z</t>
  </si>
  <si>
    <t>6R</t>
  </si>
  <si>
    <t>6S</t>
  </si>
  <si>
    <t>Z3N</t>
  </si>
  <si>
    <t>ZF</t>
  </si>
  <si>
    <t>FV</t>
  </si>
  <si>
    <t>TU</t>
  </si>
  <si>
    <t>ZT</t>
  </si>
  <si>
    <t>ZN</t>
  </si>
  <si>
    <t>ZB</t>
  </si>
  <si>
    <t>UB</t>
  </si>
  <si>
    <t>TN</t>
  </si>
  <si>
    <t>ZQ</t>
  </si>
  <si>
    <t>GE</t>
  </si>
  <si>
    <t>SR1</t>
  </si>
  <si>
    <t>SF3</t>
  </si>
  <si>
    <t>F1U</t>
  </si>
  <si>
    <t>N1U</t>
  </si>
  <si>
    <t>BA</t>
  </si>
  <si>
    <t>BAX</t>
  </si>
  <si>
    <t>2Yr Canadian Government Bond</t>
  </si>
  <si>
    <t>CV</t>
  </si>
  <si>
    <t>CGZ</t>
  </si>
  <si>
    <t>5Yr Canadian Government Bond</t>
  </si>
  <si>
    <t>XQ</t>
  </si>
  <si>
    <t>CGF</t>
  </si>
  <si>
    <t>10Yr Canadian Government Bond</t>
  </si>
  <si>
    <t>CN</t>
  </si>
  <si>
    <t>CGB</t>
  </si>
  <si>
    <t>S&amp;P / TSX 60 Index</t>
  </si>
  <si>
    <t>PT</t>
  </si>
  <si>
    <t>SXF</t>
  </si>
  <si>
    <t>Milling Wheat</t>
  </si>
  <si>
    <t>CAC 40</t>
  </si>
  <si>
    <t>Rapeseed</t>
  </si>
  <si>
    <t>CA</t>
  </si>
  <si>
    <t>EBM</t>
  </si>
  <si>
    <t>EUR</t>
  </si>
  <si>
    <t>CF</t>
  </si>
  <si>
    <t>FCE</t>
  </si>
  <si>
    <t>IJ</t>
  </si>
  <si>
    <t>ECO</t>
  </si>
  <si>
    <t>EP</t>
  </si>
  <si>
    <t>EMA</t>
  </si>
  <si>
    <t>Euro STOXX 50</t>
  </si>
  <si>
    <t>VG</t>
  </si>
  <si>
    <t>FESX</t>
  </si>
  <si>
    <t>FVS</t>
  </si>
  <si>
    <t>Stoxx Europe 600</t>
  </si>
  <si>
    <t>SXO</t>
  </si>
  <si>
    <t>FXXP</t>
  </si>
  <si>
    <t>DAX Index</t>
  </si>
  <si>
    <t>GX</t>
  </si>
  <si>
    <t>FDAX</t>
  </si>
  <si>
    <t>Swiss Market</t>
  </si>
  <si>
    <t>FSMI</t>
  </si>
  <si>
    <t>CHF</t>
  </si>
  <si>
    <t>MSCI Emerging Market</t>
  </si>
  <si>
    <t>ZTW</t>
  </si>
  <si>
    <t>FMEA</t>
  </si>
  <si>
    <t>Euro Bund</t>
  </si>
  <si>
    <t>Euro Bobl</t>
  </si>
  <si>
    <t>Euro Schatz</t>
  </si>
  <si>
    <t>Euro BTP</t>
  </si>
  <si>
    <t>Short term Euro-BTP</t>
  </si>
  <si>
    <t>Euro Buxl</t>
  </si>
  <si>
    <t>United States</t>
  </si>
  <si>
    <t>RX</t>
  </si>
  <si>
    <t>FGBL</t>
  </si>
  <si>
    <t>OE</t>
  </si>
  <si>
    <t>FGBM</t>
  </si>
  <si>
    <t>DU</t>
  </si>
  <si>
    <t>FGBS</t>
  </si>
  <si>
    <t>IK</t>
  </si>
  <si>
    <t>FBTP</t>
  </si>
  <si>
    <t>BTS</t>
  </si>
  <si>
    <t>FBTS</t>
  </si>
  <si>
    <t>FGBX</t>
  </si>
  <si>
    <t>FTSE MIB</t>
  </si>
  <si>
    <t>ST</t>
  </si>
  <si>
    <t>Amsterdam Index</t>
  </si>
  <si>
    <t>FTI</t>
  </si>
  <si>
    <t>Emission</t>
  </si>
  <si>
    <t>TTF Natural Gas</t>
  </si>
  <si>
    <t>TZT</t>
  </si>
  <si>
    <t xml:space="preserve">TFM </t>
  </si>
  <si>
    <t>Emission - EUA</t>
  </si>
  <si>
    <t>MO</t>
  </si>
  <si>
    <t>ECF</t>
  </si>
  <si>
    <t>IBEX 35</t>
  </si>
  <si>
    <t>IB</t>
  </si>
  <si>
    <t>ASX SPI 200</t>
  </si>
  <si>
    <t>XP</t>
  </si>
  <si>
    <t>AP</t>
  </si>
  <si>
    <t>AUD</t>
  </si>
  <si>
    <t>Hang Seng</t>
  </si>
  <si>
    <t>MSCI China A50</t>
  </si>
  <si>
    <t>HI</t>
  </si>
  <si>
    <t>HSI</t>
  </si>
  <si>
    <t>HKD</t>
  </si>
  <si>
    <t>MCY</t>
  </si>
  <si>
    <t>MCA</t>
  </si>
  <si>
    <t>USD/CNH</t>
  </si>
  <si>
    <t>UCA</t>
  </si>
  <si>
    <t>CUS</t>
  </si>
  <si>
    <t>CNH</t>
  </si>
  <si>
    <t>INR</t>
  </si>
  <si>
    <t>NSE Nifty 50</t>
  </si>
  <si>
    <t>USD/INR</t>
  </si>
  <si>
    <t>NZ</t>
  </si>
  <si>
    <t>NIFTY</t>
  </si>
  <si>
    <t>INT</t>
  </si>
  <si>
    <t>USDINR</t>
  </si>
  <si>
    <t>TOPIX</t>
  </si>
  <si>
    <t>JPX Nikkei Index 400</t>
  </si>
  <si>
    <t>NK</t>
  </si>
  <si>
    <t>TP</t>
  </si>
  <si>
    <t>TPX</t>
  </si>
  <si>
    <t>JPW</t>
  </si>
  <si>
    <t>10Yr Japane Government Bond</t>
  </si>
  <si>
    <t>JB</t>
  </si>
  <si>
    <t>JBL</t>
  </si>
  <si>
    <t>FTSE China A50</t>
  </si>
  <si>
    <t>SGX Nifty 50 Index</t>
  </si>
  <si>
    <t>SGX FTSE Taiwan Index</t>
  </si>
  <si>
    <t>MSCI Singapore</t>
  </si>
  <si>
    <t>XU</t>
  </si>
  <si>
    <t>IH</t>
  </si>
  <si>
    <t>IN</t>
  </si>
  <si>
    <t>TWT</t>
  </si>
  <si>
    <t>TWN</t>
  </si>
  <si>
    <t>NI</t>
  </si>
  <si>
    <t>QZ</t>
  </si>
  <si>
    <t>SGP</t>
  </si>
  <si>
    <t>SGD</t>
  </si>
  <si>
    <t>SGX TSI Iron Ore</t>
  </si>
  <si>
    <t>SCO</t>
  </si>
  <si>
    <t>FEF</t>
  </si>
  <si>
    <t>INR/USD</t>
  </si>
  <si>
    <t>XID</t>
  </si>
  <si>
    <t>IU</t>
  </si>
  <si>
    <t>XUC</t>
  </si>
  <si>
    <t>UC</t>
  </si>
  <si>
    <t>Rubber TSR 20</t>
  </si>
  <si>
    <t>OR</t>
  </si>
  <si>
    <t>TF</t>
  </si>
  <si>
    <t>KOSPI200</t>
  </si>
  <si>
    <t>KOSDAQ 150</t>
  </si>
  <si>
    <t>KM</t>
  </si>
  <si>
    <t>KRW</t>
  </si>
  <si>
    <t>01</t>
  </si>
  <si>
    <t>KST</t>
  </si>
  <si>
    <t>06</t>
  </si>
  <si>
    <t>3Yr Korea Treasury Bond</t>
  </si>
  <si>
    <t>10Yr Korea Treasury Bond</t>
  </si>
  <si>
    <t>KAA</t>
  </si>
  <si>
    <t>KWY/USD</t>
  </si>
  <si>
    <t>KU</t>
  </si>
  <si>
    <t>Nasdaq 100 E-mini Mini</t>
  </si>
  <si>
    <t>3m Canadian Bankers' Acceptance</t>
  </si>
  <si>
    <t>Maize, Corn</t>
  </si>
  <si>
    <t>VSTOXX Volatility Index</t>
  </si>
  <si>
    <t>IBX</t>
  </si>
  <si>
    <t>165</t>
  </si>
  <si>
    <t>167</t>
  </si>
  <si>
    <t>NQ</t>
  </si>
  <si>
    <t>Contract Value</t>
  </si>
  <si>
    <t>Margin to value</t>
  </si>
  <si>
    <t>JPY</t>
  </si>
  <si>
    <t>Crypto</t>
  </si>
  <si>
    <t>Euro-OAT French Government Bond</t>
  </si>
  <si>
    <t>OAT</t>
  </si>
  <si>
    <t>FOAT</t>
  </si>
  <si>
    <t>OMXS30</t>
  </si>
  <si>
    <t>QC</t>
  </si>
  <si>
    <t>FXS30</t>
  </si>
  <si>
    <t>SEK</t>
  </si>
  <si>
    <t>GBP</t>
  </si>
  <si>
    <t>Euribor</t>
  </si>
  <si>
    <t>ER</t>
  </si>
  <si>
    <t>I</t>
  </si>
  <si>
    <t>Long Gilt</t>
  </si>
  <si>
    <t>FTSE 100</t>
  </si>
  <si>
    <t>G</t>
  </si>
  <si>
    <t>R</t>
  </si>
  <si>
    <t>Z</t>
  </si>
  <si>
    <t xml:space="preserve">Aluminium </t>
  </si>
  <si>
    <t>LA</t>
  </si>
  <si>
    <t>AH</t>
  </si>
  <si>
    <t>Nickel</t>
  </si>
  <si>
    <t>LN</t>
  </si>
  <si>
    <t>Lead</t>
  </si>
  <si>
    <t>LL</t>
  </si>
  <si>
    <t>Tin</t>
  </si>
  <si>
    <t>LT</t>
  </si>
  <si>
    <t>Zinc</t>
  </si>
  <si>
    <t>LX</t>
  </si>
  <si>
    <t>PB</t>
  </si>
  <si>
    <t>SN</t>
  </si>
  <si>
    <t>Orange Juice</t>
  </si>
  <si>
    <t>JO</t>
  </si>
  <si>
    <t>OJ</t>
  </si>
  <si>
    <t>Oats</t>
  </si>
  <si>
    <t>O</t>
  </si>
  <si>
    <t>ZO</t>
  </si>
  <si>
    <t>Rough Rice</t>
  </si>
  <si>
    <t>RR</t>
  </si>
  <si>
    <t>ZR</t>
  </si>
  <si>
    <t>Ethereum</t>
  </si>
  <si>
    <t>Australia - ASX Trade24</t>
  </si>
  <si>
    <t>France - Euronext</t>
  </si>
  <si>
    <t>Canada - Montreal Exchange</t>
  </si>
  <si>
    <t>Medium Gilt</t>
  </si>
  <si>
    <t>WX</t>
  </si>
  <si>
    <t>H</t>
  </si>
  <si>
    <t>Short Gilt</t>
  </si>
  <si>
    <t>WB</t>
  </si>
  <si>
    <t>Rotterdam Coal</t>
  </si>
  <si>
    <t>Newcastle Coal</t>
  </si>
  <si>
    <t>XA</t>
  </si>
  <si>
    <t>ATW</t>
  </si>
  <si>
    <t>XW</t>
  </si>
  <si>
    <t>NCF</t>
  </si>
  <si>
    <t>Germany - Eurex</t>
  </si>
  <si>
    <t>Hong Kong - Hong Kong Futures Exchange</t>
  </si>
  <si>
    <t>India - National Commodities &amp; Deriv</t>
  </si>
  <si>
    <t>Italy - Borsa Italiana</t>
  </si>
  <si>
    <t>Japan - Osaka Exchange</t>
  </si>
  <si>
    <t>Korea - Korea Exchange</t>
  </si>
  <si>
    <t>Netherlands - Euronext</t>
  </si>
  <si>
    <t>Netherlands - ICE</t>
  </si>
  <si>
    <t>Singapore - Singapore Exchange</t>
  </si>
  <si>
    <t>Spain - MEFF Madrid</t>
  </si>
  <si>
    <t>Sweden - Nasdaq OMX</t>
  </si>
  <si>
    <t>UK - ICE</t>
  </si>
  <si>
    <t xml:space="preserve">UK - LME </t>
  </si>
  <si>
    <t>UK - Intercontinental Exchange</t>
  </si>
  <si>
    <t>FIB</t>
  </si>
  <si>
    <t>Low Volume</t>
  </si>
  <si>
    <t>Margin</t>
  </si>
  <si>
    <t>BB Symbol</t>
  </si>
  <si>
    <t>Point_Value</t>
  </si>
  <si>
    <t>ZSLME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</si>
</sst>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49" fontId="0" fillId="0" borderId="0" xfId="0" applyNumberFormat="1"/>
    <xf numFmtId="10" fontId="0" fillId="0" borderId="0" xfId="1" applyNumberFormat="1" applyFont="1"/>
    <xf numFmtId="0" fontId="0" fillId="0" borderId="0" xfId="0" applyFill="1"/>
    <xf numFmtId="16" fontId="0" fillId="0" borderId="0" xfId="0" applyNumberFormat="1"/>
    <xf numFmtId="10" fontId="0" fillId="0" borderId="0" xfId="0" applyNumberFormat="1"/>
    <xf numFmtId="3" fontId="0" fillId="0" borderId="0" xfId="0" applyNumberFormat="1"/>
    <xf numFmtId="3" fontId="0" fillId="0" borderId="0" xfId="0" applyNumberFormat="1" applyFont="1"/>
  </cellXfs>
  <cellStyles count="2">
    <cellStyle name="Normal" xfId="0" builtinId="0"/>
    <cellStyle name="Percent" xfId="1" builtinId="5"/>
  </cellStyles>
  <dxfs count="2"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B7104-0400-4353-B488-AD0832DF6150}" name="Table1" displayName="Table1" ref="A1:I226" totalsRowShown="0" headerRowDxfId="1">
  <autoFilter ref="A1:I226" xr:uid="{9C9B7104-0400-4353-B488-AD0832DF6150}"/>
  <tableColumns count="9">
    <tableColumn id="1" xr3:uid="{F7A6965F-F3A7-4EB9-9DE0-D899816512E0}" name="Contract"/>
    <tableColumn id="2" xr3:uid="{F4D658C5-86BB-4AF1-81EA-ADE06B3D1F93}" name="BB Symbol"/>
    <tableColumn id="3" xr3:uid="{92CFEB6A-5052-4D80-BDB7-45DF2F2423E5}" name="Symbol"/>
    <tableColumn id="4" xr3:uid="{322F7921-E668-4A68-A118-8F7BA94E3431}" name="Currency"/>
    <tableColumn id="5" xr3:uid="{D0DB2A5E-BCA4-46EE-8F6C-3C91A78E5D91}" name="Point_Value"/>
    <tableColumn id="8" xr3:uid="{87D4EC6B-6B00-4BA9-A4D9-0A7490688E71}" name="Margin"/>
    <tableColumn id="12" xr3:uid="{11774848-581D-4A90-8355-140B79A046EF}" name="Contract Value"/>
    <tableColumn id="13" xr3:uid="{4A5D3281-A8E3-4868-BA62-B57616041D1A}" name="Margin to value" dataDxfId="0">
      <calculatedColumnFormula>+Table1[[#This Row],[Margin]]/Table1[[#This Row],[Contract Value]]</calculatedColumnFormula>
    </tableColumn>
    <tableColumn id="9" xr3:uid="{08243D59-6E79-4235-A7A5-7E2F524A7354}" name="Low 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A60C-8842-4D91-8221-42B191DEFA50}">
  <dimension ref="A1:L226"/>
  <sheetViews>
    <sheetView tabSelected="1" zoomScale="80" zoomScaleNormal="80" workbookViewId="0">
      <pane ySplit="1" topLeftCell="A206" activePane="bottomLeft" state="frozen"/>
      <selection pane="bottomLeft" activeCell="C222" sqref="C222"/>
    </sheetView>
  </sheetViews>
  <sheetFormatPr defaultRowHeight="15" x14ac:dyDescent="0.25"/>
  <cols>
    <col min="1" max="1" width="27" customWidth="1"/>
    <col min="2" max="2" width="7.140625" customWidth="1"/>
    <col min="3" max="3" width="8.140625" customWidth="1"/>
    <col min="4" max="4" width="7.7109375" customWidth="1"/>
    <col min="5" max="5" width="7.140625" customWidth="1"/>
    <col min="6" max="6" width="9.85546875" bestFit="1" customWidth="1"/>
    <col min="7" max="7" width="12.140625" customWidth="1"/>
  </cols>
  <sheetData>
    <row r="1" spans="1:12" x14ac:dyDescent="0.25">
      <c r="A1" s="1" t="s">
        <v>18</v>
      </c>
      <c r="B1" s="1" t="s">
        <v>392</v>
      </c>
      <c r="C1" s="1" t="s">
        <v>19</v>
      </c>
      <c r="D1" s="1" t="s">
        <v>32</v>
      </c>
      <c r="E1" s="1" t="s">
        <v>393</v>
      </c>
      <c r="F1" s="1" t="s">
        <v>391</v>
      </c>
      <c r="G1" s="1" t="s">
        <v>318</v>
      </c>
      <c r="H1" s="1" t="s">
        <v>319</v>
      </c>
      <c r="I1" s="1" t="s">
        <v>390</v>
      </c>
      <c r="L1" s="8"/>
    </row>
    <row r="2" spans="1:12" x14ac:dyDescent="0.25">
      <c r="A2" s="4" t="s">
        <v>218</v>
      </c>
      <c r="B2" s="1"/>
      <c r="C2" s="1"/>
      <c r="D2" s="1"/>
      <c r="E2" s="1"/>
      <c r="F2" s="1"/>
      <c r="H2" s="9"/>
      <c r="I2" s="8"/>
    </row>
    <row r="3" spans="1:12" x14ac:dyDescent="0.25">
      <c r="A3" s="2" t="s">
        <v>59</v>
      </c>
      <c r="F3" s="10"/>
      <c r="G3" s="10"/>
      <c r="H3" s="6"/>
    </row>
    <row r="4" spans="1:12" x14ac:dyDescent="0.25">
      <c r="A4" t="s">
        <v>27</v>
      </c>
      <c r="B4" t="s">
        <v>16</v>
      </c>
      <c r="C4" t="s">
        <v>16</v>
      </c>
      <c r="D4" t="s">
        <v>29</v>
      </c>
      <c r="E4">
        <v>10</v>
      </c>
      <c r="F4" s="10">
        <v>2090</v>
      </c>
      <c r="G4" s="10">
        <v>24330</v>
      </c>
      <c r="H4" s="6">
        <f>+Table1[[#This Row],[Margin]]/Table1[[#This Row],[Contract Value]]</f>
        <v>8.5902178380600089E-2</v>
      </c>
    </row>
    <row r="5" spans="1:12" x14ac:dyDescent="0.25">
      <c r="A5" t="s">
        <v>61</v>
      </c>
      <c r="B5" t="s">
        <v>15</v>
      </c>
      <c r="C5" t="s">
        <v>15</v>
      </c>
      <c r="D5" t="s">
        <v>29</v>
      </c>
      <c r="E5">
        <v>500</v>
      </c>
      <c r="F5" s="10">
        <v>2915.0549999999998</v>
      </c>
      <c r="G5" s="10">
        <v>72860</v>
      </c>
      <c r="H5" s="6">
        <f>+Table1[[#This Row],[Margin]]/Table1[[#This Row],[Contract Value]]</f>
        <v>4.0008989843535549E-2</v>
      </c>
    </row>
    <row r="6" spans="1:12" x14ac:dyDescent="0.25">
      <c r="A6" t="s">
        <v>62</v>
      </c>
      <c r="B6" t="s">
        <v>63</v>
      </c>
      <c r="C6" t="s">
        <v>137</v>
      </c>
      <c r="D6" t="s">
        <v>29</v>
      </c>
      <c r="E6">
        <v>2000</v>
      </c>
      <c r="F6" s="10">
        <v>1650</v>
      </c>
      <c r="G6" s="10">
        <v>49900</v>
      </c>
      <c r="H6" s="6">
        <f>+Table1[[#This Row],[Margin]]/Table1[[#This Row],[Contract Value]]</f>
        <v>3.3066132264529056E-2</v>
      </c>
      <c r="I6">
        <v>351</v>
      </c>
    </row>
    <row r="7" spans="1:12" x14ac:dyDescent="0.25">
      <c r="A7" t="s">
        <v>24</v>
      </c>
      <c r="B7" t="s">
        <v>66</v>
      </c>
      <c r="C7" t="s">
        <v>139</v>
      </c>
      <c r="D7" t="s">
        <v>29</v>
      </c>
      <c r="E7">
        <v>500</v>
      </c>
      <c r="F7" s="10">
        <v>3135</v>
      </c>
      <c r="G7" s="10">
        <v>83262.5</v>
      </c>
      <c r="H7" s="6">
        <f>+Table1[[#This Row],[Margin]]/Table1[[#This Row],[Contract Value]]</f>
        <v>3.7652004203573036E-2</v>
      </c>
    </row>
    <row r="8" spans="1:12" x14ac:dyDescent="0.25">
      <c r="A8" t="s">
        <v>25</v>
      </c>
      <c r="B8" t="s">
        <v>67</v>
      </c>
      <c r="C8" t="s">
        <v>140</v>
      </c>
      <c r="D8" t="s">
        <v>29</v>
      </c>
      <c r="E8">
        <v>400</v>
      </c>
      <c r="F8" s="10">
        <v>2090</v>
      </c>
      <c r="G8" s="10">
        <v>38990</v>
      </c>
      <c r="H8" s="6">
        <f>+Table1[[#This Row],[Margin]]/Table1[[#This Row],[Contract Value]]</f>
        <v>5.3603488073865092E-2</v>
      </c>
    </row>
    <row r="9" spans="1:12" x14ac:dyDescent="0.25">
      <c r="A9" t="s">
        <v>351</v>
      </c>
      <c r="B9" t="s">
        <v>352</v>
      </c>
      <c r="C9" t="s">
        <v>353</v>
      </c>
      <c r="D9" t="s">
        <v>29</v>
      </c>
      <c r="E9">
        <v>150</v>
      </c>
      <c r="F9" s="10">
        <v>2970</v>
      </c>
      <c r="G9" s="10">
        <v>25867</v>
      </c>
      <c r="H9" s="6">
        <f>+Table1[[#This Row],[Margin]]/Table1[[#This Row],[Contract Value]]</f>
        <v>0.11481810801407198</v>
      </c>
      <c r="I9">
        <v>861.36</v>
      </c>
    </row>
    <row r="10" spans="1:12" x14ac:dyDescent="0.25">
      <c r="A10" t="s">
        <v>64</v>
      </c>
      <c r="B10" t="s">
        <v>14</v>
      </c>
      <c r="C10" t="s">
        <v>14</v>
      </c>
      <c r="D10" t="s">
        <v>29</v>
      </c>
      <c r="E10">
        <v>375</v>
      </c>
      <c r="F10" s="10">
        <v>9900</v>
      </c>
      <c r="G10" s="10">
        <v>80737.5</v>
      </c>
      <c r="H10" s="6">
        <f>+Table1[[#This Row],[Margin]]/Table1[[#This Row],[Contract Value]]</f>
        <v>0.12261960055736182</v>
      </c>
    </row>
    <row r="11" spans="1:12" x14ac:dyDescent="0.25">
      <c r="A11" t="s">
        <v>73</v>
      </c>
      <c r="B11" t="s">
        <v>74</v>
      </c>
      <c r="C11" t="s">
        <v>143</v>
      </c>
      <c r="D11" t="s">
        <v>29</v>
      </c>
      <c r="E11">
        <v>50</v>
      </c>
      <c r="F11" s="10">
        <v>3850</v>
      </c>
      <c r="G11" s="10">
        <v>63762.5</v>
      </c>
      <c r="H11" s="6">
        <f>+Table1[[#This Row],[Margin]]/Table1[[#This Row],[Contract Value]]</f>
        <v>6.0380317584787298E-2</v>
      </c>
    </row>
    <row r="12" spans="1:12" x14ac:dyDescent="0.25">
      <c r="A12" t="s">
        <v>23</v>
      </c>
      <c r="B12" t="s">
        <v>65</v>
      </c>
      <c r="C12" t="s">
        <v>138</v>
      </c>
      <c r="D12" t="s">
        <v>29</v>
      </c>
      <c r="E12">
        <v>400</v>
      </c>
      <c r="F12" s="10">
        <v>1540</v>
      </c>
      <c r="G12" s="10">
        <v>53110</v>
      </c>
      <c r="H12" s="6">
        <f>+Table1[[#This Row],[Margin]]/Table1[[#This Row],[Contract Value]]</f>
        <v>2.8996422519299566E-2</v>
      </c>
    </row>
    <row r="13" spans="1:12" x14ac:dyDescent="0.25">
      <c r="A13" t="s">
        <v>68</v>
      </c>
      <c r="B13" t="s">
        <v>22</v>
      </c>
      <c r="C13" t="s">
        <v>22</v>
      </c>
      <c r="D13" s="7" t="s">
        <v>69</v>
      </c>
      <c r="E13">
        <v>20</v>
      </c>
      <c r="F13" s="10">
        <v>1518</v>
      </c>
      <c r="G13" s="10">
        <v>21716</v>
      </c>
      <c r="H13" s="6">
        <f>+Table1[[#This Row],[Margin]]/Table1[[#This Row],[Contract Value]]</f>
        <v>6.9902376128200411E-2</v>
      </c>
    </row>
    <row r="14" spans="1:12" x14ac:dyDescent="0.25">
      <c r="A14" t="s">
        <v>26</v>
      </c>
      <c r="B14" t="s">
        <v>17</v>
      </c>
      <c r="C14" t="s">
        <v>17</v>
      </c>
      <c r="D14" t="s">
        <v>29</v>
      </c>
      <c r="E14">
        <v>1120</v>
      </c>
      <c r="F14" s="10">
        <v>1108.8</v>
      </c>
      <c r="G14" s="10">
        <v>20988.799999999999</v>
      </c>
      <c r="H14" s="6">
        <f>+Table1[[#This Row],[Margin]]/Table1[[#This Row],[Contract Value]]</f>
        <v>5.2828175026680899E-2</v>
      </c>
    </row>
    <row r="15" spans="1:12" x14ac:dyDescent="0.25">
      <c r="A15" t="s">
        <v>11</v>
      </c>
      <c r="B15" t="s">
        <v>60</v>
      </c>
      <c r="C15" t="s">
        <v>134</v>
      </c>
      <c r="D15" t="s">
        <v>29</v>
      </c>
      <c r="E15">
        <v>50</v>
      </c>
      <c r="F15" s="10">
        <v>2860</v>
      </c>
      <c r="G15" s="10">
        <v>39725</v>
      </c>
      <c r="H15" s="6">
        <f>+Table1[[#This Row],[Margin]]/Table1[[#This Row],[Contract Value]]</f>
        <v>7.199496538703587E-2</v>
      </c>
    </row>
    <row r="16" spans="1:12" x14ac:dyDescent="0.25">
      <c r="A16" t="s">
        <v>10</v>
      </c>
      <c r="B16" t="s">
        <v>70</v>
      </c>
      <c r="C16" t="s">
        <v>141</v>
      </c>
      <c r="D16" t="s">
        <v>29</v>
      </c>
      <c r="E16">
        <v>600</v>
      </c>
      <c r="F16" s="10">
        <v>3025</v>
      </c>
      <c r="G16" s="10">
        <v>49728</v>
      </c>
      <c r="H16" s="6">
        <f>+Table1[[#This Row],[Margin]]/Table1[[#This Row],[Contract Value]]</f>
        <v>6.0830920205920208E-2</v>
      </c>
    </row>
    <row r="17" spans="1:9" x14ac:dyDescent="0.25">
      <c r="A17" t="s">
        <v>21</v>
      </c>
      <c r="B17" t="s">
        <v>72</v>
      </c>
      <c r="C17" t="s">
        <v>142</v>
      </c>
      <c r="D17" t="s">
        <v>29</v>
      </c>
      <c r="E17">
        <v>100</v>
      </c>
      <c r="F17" s="10">
        <v>2420</v>
      </c>
      <c r="G17" s="10">
        <v>39790</v>
      </c>
      <c r="H17" s="6">
        <f>+Table1[[#This Row],[Margin]]/Table1[[#This Row],[Contract Value]]</f>
        <v>6.081930133199296E-2</v>
      </c>
    </row>
    <row r="18" spans="1:9" x14ac:dyDescent="0.25">
      <c r="A18" t="s">
        <v>354</v>
      </c>
      <c r="B18" t="s">
        <v>355</v>
      </c>
      <c r="C18" t="s">
        <v>356</v>
      </c>
      <c r="D18" t="s">
        <v>29</v>
      </c>
      <c r="E18">
        <v>50</v>
      </c>
      <c r="F18" s="10">
        <v>2640</v>
      </c>
      <c r="G18" s="10">
        <v>30637.5</v>
      </c>
      <c r="H18" s="6">
        <f>+Table1[[#This Row],[Margin]]/Table1[[#This Row],[Contract Value]]</f>
        <v>8.6168910648714805E-2</v>
      </c>
      <c r="I18">
        <v>385.96</v>
      </c>
    </row>
    <row r="19" spans="1:9" x14ac:dyDescent="0.25">
      <c r="A19" t="s">
        <v>357</v>
      </c>
      <c r="B19" t="s">
        <v>358</v>
      </c>
      <c r="C19" t="s">
        <v>359</v>
      </c>
      <c r="D19" t="s">
        <v>29</v>
      </c>
      <c r="E19">
        <v>2000</v>
      </c>
      <c r="F19" s="10">
        <v>1182</v>
      </c>
      <c r="G19" s="10">
        <v>34330</v>
      </c>
      <c r="H19" s="6">
        <f>+Table1[[#This Row],[Margin]]/Table1[[#This Row],[Contract Value]]</f>
        <v>3.443052723565395E-2</v>
      </c>
      <c r="I19">
        <v>571.82939999999996</v>
      </c>
    </row>
    <row r="20" spans="1:9" x14ac:dyDescent="0.25">
      <c r="A20" t="s">
        <v>20</v>
      </c>
      <c r="B20" t="s">
        <v>71</v>
      </c>
      <c r="C20" t="s">
        <v>135</v>
      </c>
      <c r="D20" t="s">
        <v>29</v>
      </c>
      <c r="E20">
        <v>50</v>
      </c>
      <c r="F20" s="10">
        <v>4290</v>
      </c>
      <c r="G20" s="10">
        <v>81375</v>
      </c>
      <c r="H20" s="6">
        <f>+Table1[[#This Row],[Margin]]/Table1[[#This Row],[Contract Value]]</f>
        <v>5.2718894009216588E-2</v>
      </c>
    </row>
    <row r="21" spans="1:9" x14ac:dyDescent="0.25">
      <c r="A21" t="s">
        <v>38</v>
      </c>
      <c r="B21" t="s">
        <v>75</v>
      </c>
      <c r="C21" t="s">
        <v>136</v>
      </c>
      <c r="D21" t="s">
        <v>29</v>
      </c>
      <c r="E21">
        <v>50</v>
      </c>
      <c r="F21" s="10">
        <v>3850</v>
      </c>
      <c r="G21" s="10">
        <v>58912.5</v>
      </c>
      <c r="H21" s="6">
        <f>+Table1[[#This Row],[Margin]]/Table1[[#This Row],[Contract Value]]</f>
        <v>6.5351156375981323E-2</v>
      </c>
    </row>
    <row r="22" spans="1:9" x14ac:dyDescent="0.25">
      <c r="F22" s="10"/>
      <c r="G22" s="10"/>
      <c r="H22" s="6"/>
    </row>
    <row r="23" spans="1:9" x14ac:dyDescent="0.25">
      <c r="A23" s="2" t="s">
        <v>100</v>
      </c>
      <c r="F23" s="10"/>
      <c r="G23" s="10"/>
      <c r="H23" s="6"/>
    </row>
    <row r="24" spans="1:9" x14ac:dyDescent="0.25">
      <c r="A24" s="3" t="s">
        <v>101</v>
      </c>
      <c r="B24" t="s">
        <v>104</v>
      </c>
      <c r="C24" t="s">
        <v>155</v>
      </c>
      <c r="D24" t="s">
        <v>29</v>
      </c>
      <c r="E24">
        <v>2000</v>
      </c>
      <c r="F24" s="10">
        <v>1540</v>
      </c>
      <c r="G24" s="10">
        <v>217015.63</v>
      </c>
      <c r="H24" s="6">
        <f>+Table1[[#This Row],[Margin]]/Table1[[#This Row],[Contract Value]]</f>
        <v>7.0962630663975674E-3</v>
      </c>
    </row>
    <row r="25" spans="1:9" x14ac:dyDescent="0.25">
      <c r="A25" s="3" t="s">
        <v>102</v>
      </c>
      <c r="B25" t="s">
        <v>157</v>
      </c>
      <c r="C25" t="s">
        <v>156</v>
      </c>
      <c r="D25" t="s">
        <v>29</v>
      </c>
      <c r="E25">
        <v>1000</v>
      </c>
      <c r="F25" s="10">
        <v>1320</v>
      </c>
      <c r="G25" s="10">
        <v>113039.06</v>
      </c>
      <c r="H25" s="6">
        <f>+Table1[[#This Row],[Margin]]/Table1[[#This Row],[Contract Value]]</f>
        <v>1.1677379482808862E-2</v>
      </c>
    </row>
    <row r="26" spans="1:9" x14ac:dyDescent="0.25">
      <c r="A26" s="3" t="s">
        <v>105</v>
      </c>
      <c r="B26" t="s">
        <v>158</v>
      </c>
      <c r="C26" t="s">
        <v>159</v>
      </c>
      <c r="D26" t="s">
        <v>29</v>
      </c>
      <c r="E26">
        <v>2000</v>
      </c>
      <c r="F26" s="10">
        <v>990</v>
      </c>
      <c r="G26" s="10">
        <v>211359.38</v>
      </c>
      <c r="H26" s="6">
        <f>+Table1[[#This Row],[Margin]]/Table1[[#This Row],[Contract Value]]</f>
        <v>4.6839652917225628E-3</v>
      </c>
    </row>
    <row r="27" spans="1:9" x14ac:dyDescent="0.25">
      <c r="A27" s="3" t="s">
        <v>103</v>
      </c>
      <c r="B27" t="s">
        <v>106</v>
      </c>
      <c r="C27" t="s">
        <v>160</v>
      </c>
      <c r="D27" t="s">
        <v>29</v>
      </c>
      <c r="E27">
        <v>1000</v>
      </c>
      <c r="F27" s="10">
        <v>1870</v>
      </c>
      <c r="G27" s="10">
        <v>119343.75</v>
      </c>
      <c r="H27" s="6">
        <f>+Table1[[#This Row],[Margin]]/Table1[[#This Row],[Contract Value]]</f>
        <v>1.5669023304529982E-2</v>
      </c>
    </row>
    <row r="28" spans="1:9" x14ac:dyDescent="0.25">
      <c r="A28" s="3" t="s">
        <v>107</v>
      </c>
      <c r="B28" t="s">
        <v>109</v>
      </c>
      <c r="C28" t="s">
        <v>161</v>
      </c>
      <c r="D28" t="s">
        <v>29</v>
      </c>
      <c r="E28">
        <v>1000</v>
      </c>
      <c r="F28" s="10">
        <v>4180</v>
      </c>
      <c r="G28" s="10">
        <v>139437.5</v>
      </c>
      <c r="H28" s="6">
        <f>+Table1[[#This Row],[Margin]]/Table1[[#This Row],[Contract Value]]</f>
        <v>2.9977588525324967E-2</v>
      </c>
    </row>
    <row r="29" spans="1:9" x14ac:dyDescent="0.25">
      <c r="A29" s="3" t="s">
        <v>108</v>
      </c>
      <c r="B29" t="s">
        <v>110</v>
      </c>
      <c r="C29" t="s">
        <v>162</v>
      </c>
      <c r="D29" t="s">
        <v>29</v>
      </c>
      <c r="E29">
        <v>1000</v>
      </c>
      <c r="F29" s="10">
        <v>7150</v>
      </c>
      <c r="G29" s="10">
        <v>156031.25</v>
      </c>
      <c r="H29" s="6">
        <f>+Table1[[#This Row],[Margin]]/Table1[[#This Row],[Contract Value]]</f>
        <v>4.5824153815341481E-2</v>
      </c>
    </row>
    <row r="30" spans="1:9" x14ac:dyDescent="0.25">
      <c r="A30" s="3" t="s">
        <v>111</v>
      </c>
      <c r="B30" t="s">
        <v>112</v>
      </c>
      <c r="C30" t="s">
        <v>163</v>
      </c>
      <c r="D30" t="s">
        <v>29</v>
      </c>
      <c r="E30">
        <v>1000</v>
      </c>
      <c r="F30" s="10">
        <v>2860</v>
      </c>
      <c r="G30" s="10">
        <v>128734.38</v>
      </c>
      <c r="H30" s="6">
        <f>+Table1[[#This Row],[Margin]]/Table1[[#This Row],[Contract Value]]</f>
        <v>2.2216287521639518E-2</v>
      </c>
    </row>
    <row r="31" spans="1:9" x14ac:dyDescent="0.25">
      <c r="A31" s="3"/>
      <c r="F31" s="10"/>
      <c r="G31" s="10"/>
      <c r="H31" s="6"/>
    </row>
    <row r="32" spans="1:9" x14ac:dyDescent="0.25">
      <c r="A32" s="2" t="s">
        <v>321</v>
      </c>
      <c r="F32" s="10"/>
      <c r="G32" s="10"/>
      <c r="H32" s="6"/>
    </row>
    <row r="33" spans="1:8" x14ac:dyDescent="0.25">
      <c r="A33" t="s">
        <v>36</v>
      </c>
      <c r="B33" t="s">
        <v>37</v>
      </c>
      <c r="C33" t="s">
        <v>37</v>
      </c>
      <c r="D33" t="s">
        <v>29</v>
      </c>
      <c r="E33">
        <v>5</v>
      </c>
      <c r="F33" s="10">
        <v>45593</v>
      </c>
      <c r="G33" s="10">
        <v>151575</v>
      </c>
      <c r="H33" s="6">
        <f>+Table1[[#This Row],[Margin]]/Table1[[#This Row],[Contract Value]]</f>
        <v>0.30079498598053767</v>
      </c>
    </row>
    <row r="34" spans="1:8" x14ac:dyDescent="0.25">
      <c r="A34" t="s">
        <v>360</v>
      </c>
      <c r="B34" t="s">
        <v>48</v>
      </c>
      <c r="C34" t="s">
        <v>131</v>
      </c>
      <c r="D34" t="s">
        <v>29</v>
      </c>
      <c r="E34">
        <v>50</v>
      </c>
      <c r="F34" s="10">
        <v>34276</v>
      </c>
      <c r="G34" s="10">
        <v>104000</v>
      </c>
      <c r="H34" s="6">
        <f>+Table1[[#This Row],[Margin]]/Table1[[#This Row],[Contract Value]]</f>
        <v>0.3295769230769231</v>
      </c>
    </row>
    <row r="35" spans="1:8" x14ac:dyDescent="0.25">
      <c r="F35" s="10"/>
      <c r="G35" s="10"/>
      <c r="H35" s="6"/>
    </row>
    <row r="36" spans="1:8" x14ac:dyDescent="0.25">
      <c r="A36" s="2" t="s">
        <v>76</v>
      </c>
      <c r="F36" s="10"/>
      <c r="G36" s="10"/>
      <c r="H36" s="6"/>
    </row>
    <row r="37" spans="1:8" x14ac:dyDescent="0.25">
      <c r="A37" t="s">
        <v>77</v>
      </c>
      <c r="B37" t="s">
        <v>78</v>
      </c>
      <c r="C37" t="s">
        <v>144</v>
      </c>
      <c r="D37" t="s">
        <v>29</v>
      </c>
      <c r="E37">
        <v>1000</v>
      </c>
      <c r="F37" s="10">
        <v>2002</v>
      </c>
      <c r="G37" s="10">
        <v>69050</v>
      </c>
      <c r="H37" s="6">
        <f>+Table1[[#This Row],[Margin]]/Table1[[#This Row],[Contract Value]]</f>
        <v>2.8993482983345403E-2</v>
      </c>
    </row>
    <row r="38" spans="1:8" x14ac:dyDescent="0.25">
      <c r="A38" t="s">
        <v>79</v>
      </c>
      <c r="B38" t="s">
        <v>80</v>
      </c>
      <c r="C38" t="s">
        <v>145</v>
      </c>
      <c r="D38" t="s">
        <v>29</v>
      </c>
      <c r="E38">
        <v>625</v>
      </c>
      <c r="F38" s="10">
        <v>2035</v>
      </c>
      <c r="G38" s="10">
        <v>76425</v>
      </c>
      <c r="H38" s="6">
        <f>+Table1[[#This Row],[Margin]]/Table1[[#This Row],[Contract Value]]</f>
        <v>2.6627412495911024E-2</v>
      </c>
    </row>
    <row r="39" spans="1:8" x14ac:dyDescent="0.25">
      <c r="A39" t="s">
        <v>81</v>
      </c>
      <c r="B39" t="s">
        <v>82</v>
      </c>
      <c r="C39" t="s">
        <v>146</v>
      </c>
      <c r="D39" t="s">
        <v>29</v>
      </c>
      <c r="E39">
        <v>1000</v>
      </c>
      <c r="F39" s="10">
        <v>1210</v>
      </c>
      <c r="G39" s="10">
        <v>19415</v>
      </c>
      <c r="H39" s="6">
        <f>+Table1[[#This Row],[Margin]]/Table1[[#This Row],[Contract Value]]</f>
        <v>6.2322946175637391E-2</v>
      </c>
    </row>
    <row r="40" spans="1:8" x14ac:dyDescent="0.25">
      <c r="A40" t="s">
        <v>83</v>
      </c>
      <c r="B40" t="s">
        <v>84</v>
      </c>
      <c r="C40" t="s">
        <v>147</v>
      </c>
      <c r="D40" t="s">
        <v>29</v>
      </c>
      <c r="E40">
        <v>1000</v>
      </c>
      <c r="F40" s="10">
        <v>1452</v>
      </c>
      <c r="G40" s="10">
        <v>76915</v>
      </c>
      <c r="H40" s="6">
        <f>+Table1[[#This Row],[Margin]]/Table1[[#This Row],[Contract Value]]</f>
        <v>1.8877982188129753E-2</v>
      </c>
    </row>
    <row r="41" spans="1:8" x14ac:dyDescent="0.25">
      <c r="A41" t="s">
        <v>85</v>
      </c>
      <c r="B41" t="s">
        <v>53</v>
      </c>
      <c r="C41" t="s">
        <v>148</v>
      </c>
      <c r="D41" t="s">
        <v>29</v>
      </c>
      <c r="E41">
        <v>125000</v>
      </c>
      <c r="F41" s="10">
        <v>2640</v>
      </c>
      <c r="G41" s="10">
        <v>130268</v>
      </c>
      <c r="H41" s="6">
        <f>+Table1[[#This Row],[Margin]]/Table1[[#This Row],[Contract Value]]</f>
        <v>2.0265913347867474E-2</v>
      </c>
    </row>
    <row r="42" spans="1:8" x14ac:dyDescent="0.25">
      <c r="A42" t="s">
        <v>86</v>
      </c>
      <c r="B42" t="s">
        <v>87</v>
      </c>
      <c r="C42" t="s">
        <v>149</v>
      </c>
      <c r="D42" t="s">
        <v>29</v>
      </c>
      <c r="E42">
        <v>1250</v>
      </c>
      <c r="F42" s="10">
        <v>2750</v>
      </c>
      <c r="G42" s="10">
        <v>97068.75</v>
      </c>
      <c r="H42" s="6">
        <f>+Table1[[#This Row],[Margin]]/Table1[[#This Row],[Contract Value]]</f>
        <v>2.8330435902388772E-2</v>
      </c>
    </row>
    <row r="43" spans="1:8" x14ac:dyDescent="0.25">
      <c r="A43" t="s">
        <v>88</v>
      </c>
      <c r="B43" t="s">
        <v>90</v>
      </c>
      <c r="C43" t="s">
        <v>150</v>
      </c>
      <c r="D43" t="s">
        <v>29</v>
      </c>
      <c r="E43">
        <v>1000</v>
      </c>
      <c r="F43" s="10">
        <v>1540</v>
      </c>
      <c r="G43" s="10">
        <v>62515</v>
      </c>
      <c r="H43" s="6">
        <f>+Table1[[#This Row],[Margin]]/Table1[[#This Row],[Contract Value]]</f>
        <v>2.4634087818923459E-2</v>
      </c>
    </row>
    <row r="44" spans="1:8" x14ac:dyDescent="0.25">
      <c r="A44" t="s">
        <v>89</v>
      </c>
      <c r="B44" t="s">
        <v>91</v>
      </c>
      <c r="C44" t="s">
        <v>151</v>
      </c>
      <c r="D44" t="s">
        <v>29</v>
      </c>
      <c r="E44">
        <v>5000</v>
      </c>
      <c r="F44" s="10">
        <v>1430</v>
      </c>
      <c r="G44" s="10">
        <v>24650</v>
      </c>
      <c r="H44" s="6">
        <f>+Table1[[#This Row],[Margin]]/Table1[[#This Row],[Contract Value]]</f>
        <v>5.8012170385395537E-2</v>
      </c>
    </row>
    <row r="45" spans="1:8" x14ac:dyDescent="0.25">
      <c r="A45" t="s">
        <v>92</v>
      </c>
      <c r="B45" t="s">
        <v>93</v>
      </c>
      <c r="C45" t="s">
        <v>152</v>
      </c>
      <c r="D45" t="s">
        <v>29</v>
      </c>
      <c r="E45">
        <v>5000</v>
      </c>
      <c r="F45" s="10">
        <v>1980</v>
      </c>
      <c r="G45" s="10">
        <v>31137.5</v>
      </c>
      <c r="H45" s="6">
        <f>+Table1[[#This Row],[Margin]]/Table1[[#This Row],[Contract Value]]</f>
        <v>6.3588920112404662E-2</v>
      </c>
    </row>
    <row r="46" spans="1:8" x14ac:dyDescent="0.25">
      <c r="A46" t="s">
        <v>94</v>
      </c>
      <c r="B46" t="s">
        <v>96</v>
      </c>
      <c r="C46" t="s">
        <v>153</v>
      </c>
      <c r="D46" t="s">
        <v>29</v>
      </c>
      <c r="E46">
        <v>25000</v>
      </c>
      <c r="F46" s="10">
        <v>5830</v>
      </c>
      <c r="G46" s="10">
        <v>35275</v>
      </c>
      <c r="H46" s="6">
        <f>+Table1[[#This Row],[Margin]]/Table1[[#This Row],[Contract Value]]</f>
        <v>0.16527285613040396</v>
      </c>
    </row>
    <row r="47" spans="1:8" x14ac:dyDescent="0.25">
      <c r="A47" t="s">
        <v>95</v>
      </c>
      <c r="B47" t="s">
        <v>97</v>
      </c>
      <c r="C47" t="s">
        <v>154</v>
      </c>
      <c r="D47" t="s">
        <v>29</v>
      </c>
      <c r="E47">
        <v>1250</v>
      </c>
      <c r="F47" s="10">
        <v>3190</v>
      </c>
      <c r="G47" s="10">
        <v>125162.5</v>
      </c>
      <c r="H47" s="6">
        <f>+Table1[[#This Row],[Margin]]/Table1[[#This Row],[Contract Value]]</f>
        <v>2.5486867072805352E-2</v>
      </c>
    </row>
    <row r="48" spans="1:8" x14ac:dyDescent="0.25">
      <c r="A48" t="s">
        <v>98</v>
      </c>
      <c r="B48" t="s">
        <v>99</v>
      </c>
      <c r="C48" t="s">
        <v>99</v>
      </c>
      <c r="D48" t="s">
        <v>29</v>
      </c>
      <c r="E48">
        <v>1000</v>
      </c>
      <c r="F48" s="10">
        <v>2090</v>
      </c>
      <c r="G48" s="10">
        <v>104600</v>
      </c>
      <c r="H48" s="6">
        <f>+Table1[[#This Row],[Margin]]/Table1[[#This Row],[Contract Value]]</f>
        <v>1.9980879541108987E-2</v>
      </c>
    </row>
    <row r="49" spans="1:9" x14ac:dyDescent="0.25">
      <c r="F49" s="10"/>
      <c r="G49" s="10"/>
      <c r="H49" s="6"/>
    </row>
    <row r="50" spans="1:9" x14ac:dyDescent="0.25">
      <c r="A50" s="2" t="s">
        <v>49</v>
      </c>
      <c r="F50" s="10"/>
      <c r="G50" s="10"/>
      <c r="H50" s="6"/>
    </row>
    <row r="51" spans="1:9" x14ac:dyDescent="0.25">
      <c r="A51" t="s">
        <v>50</v>
      </c>
      <c r="B51" t="s">
        <v>51</v>
      </c>
      <c r="C51" t="s">
        <v>132</v>
      </c>
      <c r="D51" t="s">
        <v>29</v>
      </c>
      <c r="E51">
        <v>1000</v>
      </c>
      <c r="F51" s="10">
        <v>9900</v>
      </c>
      <c r="G51" s="10">
        <v>108840</v>
      </c>
      <c r="H51" s="6">
        <f>+Table1[[#This Row],[Margin]]/Table1[[#This Row],[Contract Value]]</f>
        <v>9.0959206174200655E-2</v>
      </c>
    </row>
    <row r="52" spans="1:9" x14ac:dyDescent="0.25">
      <c r="A52" t="s">
        <v>52</v>
      </c>
      <c r="B52" t="s">
        <v>1</v>
      </c>
      <c r="C52" t="s">
        <v>1</v>
      </c>
      <c r="D52" t="s">
        <v>29</v>
      </c>
      <c r="E52">
        <v>1000</v>
      </c>
      <c r="F52" s="10">
        <v>9625</v>
      </c>
      <c r="G52" s="10">
        <v>107290</v>
      </c>
      <c r="H52" s="6">
        <f>+Table1[[#This Row],[Margin]]/Table1[[#This Row],[Contract Value]]</f>
        <v>8.9710131419517197E-2</v>
      </c>
    </row>
    <row r="53" spans="1:9" x14ac:dyDescent="0.25">
      <c r="A53" t="s">
        <v>2</v>
      </c>
      <c r="B53" t="s">
        <v>3</v>
      </c>
      <c r="C53" t="s">
        <v>3</v>
      </c>
      <c r="D53" t="s">
        <v>29</v>
      </c>
      <c r="E53">
        <v>10000</v>
      </c>
      <c r="F53" s="10">
        <v>9350</v>
      </c>
      <c r="G53" s="10">
        <v>78310</v>
      </c>
      <c r="H53" s="6">
        <f>+Table1[[#This Row],[Margin]]/Table1[[#This Row],[Contract Value]]</f>
        <v>0.11939726727110203</v>
      </c>
    </row>
    <row r="54" spans="1:9" x14ac:dyDescent="0.25">
      <c r="A54" t="s">
        <v>33</v>
      </c>
      <c r="B54" t="s">
        <v>4</v>
      </c>
      <c r="C54" t="s">
        <v>4</v>
      </c>
      <c r="D54" t="s">
        <v>29</v>
      </c>
      <c r="E54">
        <v>420</v>
      </c>
      <c r="F54" s="10">
        <v>17325</v>
      </c>
      <c r="G54" s="10">
        <v>166194</v>
      </c>
      <c r="H54" s="6">
        <f>+Table1[[#This Row],[Margin]]/Table1[[#This Row],[Contract Value]]</f>
        <v>0.10424564063684609</v>
      </c>
    </row>
    <row r="55" spans="1:9" x14ac:dyDescent="0.25">
      <c r="A55" t="s">
        <v>55</v>
      </c>
      <c r="B55" t="s">
        <v>56</v>
      </c>
      <c r="C55" t="s">
        <v>133</v>
      </c>
      <c r="D55" t="s">
        <v>29</v>
      </c>
      <c r="E55">
        <v>420</v>
      </c>
      <c r="F55" s="10">
        <v>11825</v>
      </c>
      <c r="G55" s="10">
        <v>162174.6</v>
      </c>
      <c r="H55" s="6">
        <f>+Table1[[#This Row],[Margin]]/Table1[[#This Row],[Contract Value]]</f>
        <v>7.2915240734369002E-2</v>
      </c>
    </row>
    <row r="56" spans="1:9" x14ac:dyDescent="0.25">
      <c r="A56" s="4"/>
      <c r="B56" s="1"/>
      <c r="C56" s="1"/>
      <c r="D56" s="1"/>
      <c r="E56" s="1"/>
      <c r="F56" s="1"/>
      <c r="H56" s="9"/>
      <c r="I56" s="8"/>
    </row>
    <row r="57" spans="1:9" x14ac:dyDescent="0.25">
      <c r="A57" s="2" t="s">
        <v>39</v>
      </c>
      <c r="H57" s="9"/>
    </row>
    <row r="58" spans="1:9" x14ac:dyDescent="0.25">
      <c r="A58" t="s">
        <v>44</v>
      </c>
      <c r="B58" t="s">
        <v>45</v>
      </c>
      <c r="C58" t="s">
        <v>129</v>
      </c>
      <c r="D58" t="s">
        <v>29</v>
      </c>
      <c r="E58">
        <v>100</v>
      </c>
      <c r="F58" s="10">
        <v>14850</v>
      </c>
      <c r="G58" s="10">
        <v>238610</v>
      </c>
      <c r="H58" s="6">
        <f>+Table1[[#This Row],[Margin]]/Table1[[#This Row],[Contract Value]]</f>
        <v>6.2235446963664558E-2</v>
      </c>
    </row>
    <row r="59" spans="1:9" x14ac:dyDescent="0.25">
      <c r="A59" t="s">
        <v>43</v>
      </c>
      <c r="B59" t="s">
        <v>0</v>
      </c>
      <c r="C59" t="s">
        <v>0</v>
      </c>
      <c r="D59" t="s">
        <v>29</v>
      </c>
      <c r="E59">
        <v>50</v>
      </c>
      <c r="F59" s="10">
        <v>11320</v>
      </c>
      <c r="G59" s="10">
        <v>198125</v>
      </c>
      <c r="H59" s="6">
        <f>+Table1[[#This Row],[Margin]]/Table1[[#This Row],[Contract Value]]</f>
        <v>5.7135646687697161E-2</v>
      </c>
    </row>
    <row r="60" spans="1:9" x14ac:dyDescent="0.25">
      <c r="A60" t="s">
        <v>28</v>
      </c>
      <c r="B60" t="s">
        <v>46</v>
      </c>
      <c r="C60" t="s">
        <v>130</v>
      </c>
      <c r="D60" s="7" t="s">
        <v>320</v>
      </c>
      <c r="E60">
        <v>500</v>
      </c>
      <c r="F60" s="10">
        <v>770000</v>
      </c>
      <c r="G60" s="10">
        <v>13192500</v>
      </c>
      <c r="H60" s="6">
        <f>+Table1[[#This Row],[Margin]]/Table1[[#This Row],[Contract Value]]</f>
        <v>5.8366496115216979E-2</v>
      </c>
    </row>
    <row r="61" spans="1:9" ht="14.25" customHeight="1" x14ac:dyDescent="0.25">
      <c r="A61" t="s">
        <v>310</v>
      </c>
      <c r="B61" t="s">
        <v>317</v>
      </c>
      <c r="C61" t="s">
        <v>317</v>
      </c>
      <c r="D61" t="s">
        <v>29</v>
      </c>
      <c r="E61">
        <v>20</v>
      </c>
      <c r="F61" s="10">
        <v>17050</v>
      </c>
      <c r="G61" s="10">
        <v>242590</v>
      </c>
      <c r="H61" s="6">
        <f>+Table1[[#This Row],[Margin]]/Table1[[#This Row],[Contract Value]]</f>
        <v>7.0283193866193985E-2</v>
      </c>
    </row>
    <row r="62" spans="1:9" x14ac:dyDescent="0.25">
      <c r="A62" t="s">
        <v>47</v>
      </c>
      <c r="B62" t="s">
        <v>30</v>
      </c>
      <c r="C62" t="s">
        <v>30</v>
      </c>
      <c r="D62" t="s">
        <v>29</v>
      </c>
      <c r="E62">
        <v>50</v>
      </c>
      <c r="F62" s="10">
        <v>6600</v>
      </c>
      <c r="G62" s="10">
        <v>87705</v>
      </c>
      <c r="H62" s="6">
        <f>+Table1[[#This Row],[Margin]]/Table1[[#This Row],[Contract Value]]</f>
        <v>7.5252266119377464E-2</v>
      </c>
    </row>
    <row r="63" spans="1:9" x14ac:dyDescent="0.25">
      <c r="A63" t="s">
        <v>41</v>
      </c>
      <c r="B63" t="s">
        <v>42</v>
      </c>
      <c r="C63" t="s">
        <v>127</v>
      </c>
      <c r="D63" t="s">
        <v>29</v>
      </c>
      <c r="E63">
        <v>1000</v>
      </c>
      <c r="F63" s="10">
        <v>3630</v>
      </c>
      <c r="G63" s="10">
        <v>30710</v>
      </c>
      <c r="H63" s="6">
        <f>+Table1[[#This Row],[Margin]]/Table1[[#This Row],[Contract Value]]</f>
        <v>0.11820253988928688</v>
      </c>
    </row>
    <row r="64" spans="1:9" x14ac:dyDescent="0.25">
      <c r="A64" t="s">
        <v>40</v>
      </c>
      <c r="B64" t="s">
        <v>31</v>
      </c>
      <c r="C64" t="s">
        <v>128</v>
      </c>
      <c r="D64" t="s">
        <v>29</v>
      </c>
      <c r="E64">
        <v>5</v>
      </c>
      <c r="F64" s="10">
        <v>9350</v>
      </c>
      <c r="G64" s="10">
        <v>159155</v>
      </c>
      <c r="H64" s="6">
        <f>+Table1[[#This Row],[Margin]]/Table1[[#This Row],[Contract Value]]</f>
        <v>5.8747761616034684E-2</v>
      </c>
    </row>
    <row r="65" spans="1:8" x14ac:dyDescent="0.25">
      <c r="F65" s="10"/>
      <c r="G65" s="10"/>
      <c r="H65" s="6"/>
    </row>
    <row r="66" spans="1:8" x14ac:dyDescent="0.25">
      <c r="A66" s="2" t="s">
        <v>113</v>
      </c>
      <c r="F66" s="10"/>
      <c r="G66" s="10"/>
      <c r="H66" s="6"/>
    </row>
    <row r="67" spans="1:8" x14ac:dyDescent="0.25">
      <c r="A67" t="s">
        <v>115</v>
      </c>
      <c r="B67" t="s">
        <v>119</v>
      </c>
      <c r="C67" t="s">
        <v>165</v>
      </c>
      <c r="D67" t="s">
        <v>29</v>
      </c>
      <c r="E67">
        <v>2500</v>
      </c>
      <c r="F67" s="10">
        <v>852</v>
      </c>
      <c r="G67" s="10">
        <v>242237.5</v>
      </c>
      <c r="H67" s="6">
        <f>+Table1[[#This Row],[Margin]]/Table1[[#This Row],[Contract Value]]</f>
        <v>3.5172093503276743E-3</v>
      </c>
    </row>
    <row r="68" spans="1:8" x14ac:dyDescent="0.25">
      <c r="A68" t="s">
        <v>117</v>
      </c>
      <c r="B68" t="s">
        <v>121</v>
      </c>
      <c r="C68" t="s">
        <v>167</v>
      </c>
      <c r="D68" t="s">
        <v>29</v>
      </c>
      <c r="E68">
        <v>2500</v>
      </c>
      <c r="F68" s="10">
        <v>907</v>
      </c>
      <c r="G68" s="10">
        <v>242437.5</v>
      </c>
      <c r="H68" s="6">
        <f>+Table1[[#This Row],[Margin]]/Table1[[#This Row],[Contract Value]]</f>
        <v>3.7411704047434907E-3</v>
      </c>
    </row>
    <row r="69" spans="1:8" x14ac:dyDescent="0.25">
      <c r="A69" t="s">
        <v>116</v>
      </c>
      <c r="B69" t="s">
        <v>120</v>
      </c>
      <c r="C69" t="s">
        <v>166</v>
      </c>
      <c r="D69" t="s">
        <v>29</v>
      </c>
      <c r="E69">
        <v>4167</v>
      </c>
      <c r="F69" s="10">
        <v>495</v>
      </c>
      <c r="G69" s="10">
        <v>413720.59</v>
      </c>
      <c r="H69" s="6">
        <f>+Table1[[#This Row],[Margin]]/Table1[[#This Row],[Contract Value]]</f>
        <v>1.1964596685893733E-3</v>
      </c>
    </row>
    <row r="70" spans="1:8" x14ac:dyDescent="0.25">
      <c r="A70" t="s">
        <v>114</v>
      </c>
      <c r="B70" t="s">
        <v>118</v>
      </c>
      <c r="C70" t="s">
        <v>164</v>
      </c>
      <c r="D70" t="s">
        <v>29</v>
      </c>
      <c r="E70">
        <v>4167</v>
      </c>
      <c r="F70" s="10">
        <v>495</v>
      </c>
      <c r="G70" s="10">
        <v>413512.24</v>
      </c>
      <c r="H70" s="6">
        <f>+Table1[[#This Row],[Margin]]/Table1[[#This Row],[Contract Value]]</f>
        <v>1.1970625101689857E-3</v>
      </c>
    </row>
    <row r="71" spans="1:8" x14ac:dyDescent="0.25">
      <c r="F71" s="10"/>
      <c r="G71" s="10"/>
      <c r="H71" s="6"/>
    </row>
    <row r="72" spans="1:8" x14ac:dyDescent="0.25">
      <c r="A72" s="2" t="s">
        <v>57</v>
      </c>
      <c r="F72" s="10"/>
      <c r="G72" s="10"/>
      <c r="H72" s="6"/>
    </row>
    <row r="73" spans="1:8" x14ac:dyDescent="0.25">
      <c r="A73" t="s">
        <v>58</v>
      </c>
      <c r="B73" t="s">
        <v>5</v>
      </c>
      <c r="C73" t="s">
        <v>5</v>
      </c>
      <c r="D73" t="s">
        <v>29</v>
      </c>
      <c r="E73">
        <v>100</v>
      </c>
      <c r="F73" s="10">
        <v>7920</v>
      </c>
      <c r="G73" s="10">
        <v>182560</v>
      </c>
      <c r="H73" s="6">
        <f>+Table1[[#This Row],[Margin]]/Table1[[#This Row],[Contract Value]]</f>
        <v>4.3382997370727434E-2</v>
      </c>
    </row>
    <row r="74" spans="1:8" x14ac:dyDescent="0.25">
      <c r="A74" t="s">
        <v>35</v>
      </c>
      <c r="B74" t="s">
        <v>7</v>
      </c>
      <c r="C74" t="s">
        <v>7</v>
      </c>
      <c r="D74" t="s">
        <v>29</v>
      </c>
      <c r="E74">
        <v>250</v>
      </c>
      <c r="F74" s="10">
        <v>6050</v>
      </c>
      <c r="G74" s="10">
        <v>103612.5</v>
      </c>
      <c r="H74" s="6">
        <f>+Table1[[#This Row],[Margin]]/Table1[[#This Row],[Contract Value]]</f>
        <v>5.8390638195198456E-2</v>
      </c>
    </row>
    <row r="75" spans="1:8" x14ac:dyDescent="0.25">
      <c r="A75" t="s">
        <v>9</v>
      </c>
      <c r="B75" t="s">
        <v>12</v>
      </c>
      <c r="C75" t="s">
        <v>12</v>
      </c>
      <c r="D75" t="s">
        <v>29</v>
      </c>
      <c r="E75">
        <v>100</v>
      </c>
      <c r="F75" s="10">
        <v>37950</v>
      </c>
      <c r="G75" s="10">
        <v>194250</v>
      </c>
      <c r="H75" s="6">
        <f>+Table1[[#This Row],[Margin]]/Table1[[#This Row],[Contract Value]]</f>
        <v>0.19536679536679535</v>
      </c>
    </row>
    <row r="76" spans="1:8" x14ac:dyDescent="0.25">
      <c r="A76" t="s">
        <v>8</v>
      </c>
      <c r="B76" t="s">
        <v>13</v>
      </c>
      <c r="C76" t="s">
        <v>13</v>
      </c>
      <c r="D76" t="s">
        <v>29</v>
      </c>
      <c r="E76">
        <v>50</v>
      </c>
      <c r="F76" s="10">
        <v>3740</v>
      </c>
      <c r="G76" s="10">
        <v>47395</v>
      </c>
      <c r="H76" s="6">
        <f>+Table1[[#This Row],[Margin]]/Table1[[#This Row],[Contract Value]]</f>
        <v>7.8911277560924142E-2</v>
      </c>
    </row>
    <row r="77" spans="1:8" x14ac:dyDescent="0.25">
      <c r="A77" t="s">
        <v>34</v>
      </c>
      <c r="B77" t="s">
        <v>6</v>
      </c>
      <c r="C77" t="s">
        <v>6</v>
      </c>
      <c r="D77" t="s">
        <v>29</v>
      </c>
      <c r="E77">
        <v>5000</v>
      </c>
      <c r="F77" s="10">
        <v>9350</v>
      </c>
      <c r="G77" s="10">
        <v>104625</v>
      </c>
      <c r="H77" s="6">
        <f>+Table1[[#This Row],[Margin]]/Table1[[#This Row],[Contract Value]]</f>
        <v>8.936678614097969E-2</v>
      </c>
    </row>
    <row r="78" spans="1:8" x14ac:dyDescent="0.25">
      <c r="F78" s="10"/>
      <c r="G78" s="10"/>
      <c r="H78" s="6"/>
    </row>
    <row r="79" spans="1:8" x14ac:dyDescent="0.25">
      <c r="A79" s="2" t="s">
        <v>122</v>
      </c>
      <c r="F79" s="10"/>
      <c r="G79" s="10"/>
      <c r="H79" s="6"/>
    </row>
    <row r="80" spans="1:8" x14ac:dyDescent="0.25">
      <c r="A80" t="s">
        <v>123</v>
      </c>
      <c r="B80" t="s">
        <v>125</v>
      </c>
      <c r="C80" t="s">
        <v>168</v>
      </c>
      <c r="D80" t="s">
        <v>29</v>
      </c>
      <c r="E80">
        <v>1000</v>
      </c>
      <c r="F80" s="10">
        <v>1210</v>
      </c>
      <c r="G80" s="10">
        <v>91195.31</v>
      </c>
      <c r="H80" s="6">
        <f>+Table1[[#This Row],[Margin]]/Table1[[#This Row],[Contract Value]]</f>
        <v>1.3268226184000033E-2</v>
      </c>
    </row>
    <row r="81" spans="1:8" x14ac:dyDescent="0.25">
      <c r="A81" t="s">
        <v>124</v>
      </c>
      <c r="B81" t="s">
        <v>126</v>
      </c>
      <c r="C81" t="s">
        <v>169</v>
      </c>
      <c r="D81" t="s">
        <v>29</v>
      </c>
      <c r="E81">
        <v>1000</v>
      </c>
      <c r="F81" s="10">
        <v>1980</v>
      </c>
      <c r="G81" s="10">
        <v>87406.25</v>
      </c>
      <c r="H81" s="6">
        <f>+Table1[[#This Row],[Margin]]/Table1[[#This Row],[Contract Value]]</f>
        <v>2.2652842331069001E-2</v>
      </c>
    </row>
    <row r="82" spans="1:8" x14ac:dyDescent="0.25">
      <c r="F82" s="10"/>
      <c r="G82" s="10"/>
      <c r="H82" s="6"/>
    </row>
    <row r="83" spans="1:8" x14ac:dyDescent="0.25">
      <c r="F83" s="10"/>
      <c r="G83" s="10"/>
      <c r="H83" s="6"/>
    </row>
    <row r="84" spans="1:8" x14ac:dyDescent="0.25">
      <c r="A84" s="4" t="s">
        <v>361</v>
      </c>
      <c r="F84" s="10"/>
      <c r="G84" s="10"/>
      <c r="H84" s="6"/>
    </row>
    <row r="85" spans="1:8" x14ac:dyDescent="0.25">
      <c r="A85" s="2" t="s">
        <v>39</v>
      </c>
      <c r="F85" s="10"/>
      <c r="G85" s="10"/>
      <c r="H85" s="6"/>
    </row>
    <row r="86" spans="1:8" x14ac:dyDescent="0.25">
      <c r="A86" t="s">
        <v>243</v>
      </c>
      <c r="B86" t="s">
        <v>244</v>
      </c>
      <c r="C86" t="s">
        <v>245</v>
      </c>
      <c r="D86" t="s">
        <v>246</v>
      </c>
      <c r="E86">
        <v>25</v>
      </c>
      <c r="F86" s="10">
        <v>14621</v>
      </c>
      <c r="G86" s="10">
        <v>176675</v>
      </c>
      <c r="H86" s="6">
        <f>+Table1[[#This Row],[Margin]]/Table1[[#This Row],[Contract Value]]</f>
        <v>8.2756473751238152E-2</v>
      </c>
    </row>
    <row r="87" spans="1:8" x14ac:dyDescent="0.25">
      <c r="F87" s="10"/>
      <c r="G87" s="10"/>
      <c r="H87" s="6"/>
    </row>
    <row r="88" spans="1:8" x14ac:dyDescent="0.25">
      <c r="A88" s="4" t="s">
        <v>363</v>
      </c>
      <c r="F88" s="10"/>
      <c r="G88" s="10"/>
      <c r="H88" s="6"/>
    </row>
    <row r="89" spans="1:8" x14ac:dyDescent="0.25">
      <c r="A89" s="2" t="s">
        <v>100</v>
      </c>
      <c r="F89" s="10"/>
      <c r="G89" s="10"/>
      <c r="H89" s="6"/>
    </row>
    <row r="90" spans="1:8" x14ac:dyDescent="0.25">
      <c r="A90" t="s">
        <v>172</v>
      </c>
      <c r="B90" t="s">
        <v>173</v>
      </c>
      <c r="C90" t="s">
        <v>174</v>
      </c>
      <c r="D90" t="s">
        <v>69</v>
      </c>
      <c r="E90">
        <v>1000</v>
      </c>
      <c r="F90" s="10">
        <v>684</v>
      </c>
      <c r="G90" s="10">
        <v>105590</v>
      </c>
      <c r="H90" s="6">
        <f>+Table1[[#This Row],[Margin]]/Table1[[#This Row],[Contract Value]]</f>
        <v>6.4778861634624488E-3</v>
      </c>
    </row>
    <row r="91" spans="1:8" x14ac:dyDescent="0.25">
      <c r="A91" t="s">
        <v>175</v>
      </c>
      <c r="B91" t="s">
        <v>176</v>
      </c>
      <c r="C91" t="s">
        <v>177</v>
      </c>
      <c r="D91" t="s">
        <v>69</v>
      </c>
      <c r="E91">
        <v>1000</v>
      </c>
      <c r="F91" s="10">
        <v>1703</v>
      </c>
      <c r="G91" s="10">
        <v>115510</v>
      </c>
      <c r="H91" s="6">
        <f>+Table1[[#This Row],[Margin]]/Table1[[#This Row],[Contract Value]]</f>
        <v>1.4743312267336162E-2</v>
      </c>
    </row>
    <row r="92" spans="1:8" x14ac:dyDescent="0.25">
      <c r="A92" t="s">
        <v>178</v>
      </c>
      <c r="B92" t="s">
        <v>179</v>
      </c>
      <c r="C92" t="s">
        <v>180</v>
      </c>
      <c r="D92" t="s">
        <v>69</v>
      </c>
      <c r="E92">
        <v>1000</v>
      </c>
      <c r="F92" s="10">
        <v>2676</v>
      </c>
      <c r="G92" s="10">
        <v>125370</v>
      </c>
      <c r="H92" s="6">
        <f>+Table1[[#This Row],[Margin]]/Table1[[#This Row],[Contract Value]]</f>
        <v>2.1344819334769085E-2</v>
      </c>
    </row>
    <row r="93" spans="1:8" x14ac:dyDescent="0.25">
      <c r="A93" s="4"/>
      <c r="F93" s="10"/>
      <c r="G93" s="10"/>
      <c r="H93" s="6"/>
    </row>
    <row r="94" spans="1:8" x14ac:dyDescent="0.25">
      <c r="A94" s="2" t="s">
        <v>39</v>
      </c>
      <c r="F94" s="10"/>
      <c r="G94" s="10"/>
      <c r="H94" s="6"/>
    </row>
    <row r="95" spans="1:8" x14ac:dyDescent="0.25">
      <c r="A95" t="s">
        <v>181</v>
      </c>
      <c r="B95" t="s">
        <v>182</v>
      </c>
      <c r="C95" t="s">
        <v>183</v>
      </c>
      <c r="D95" t="s">
        <v>69</v>
      </c>
      <c r="E95">
        <v>200</v>
      </c>
      <c r="F95" s="10">
        <v>13360</v>
      </c>
      <c r="G95" s="10">
        <v>241340</v>
      </c>
      <c r="H95" s="6">
        <f>+Table1[[#This Row],[Margin]]/Table1[[#This Row],[Contract Value]]</f>
        <v>5.5357586806994284E-2</v>
      </c>
    </row>
    <row r="96" spans="1:8" x14ac:dyDescent="0.25">
      <c r="F96" s="10"/>
      <c r="G96" s="10"/>
      <c r="H96" s="6"/>
    </row>
    <row r="97" spans="1:9" x14ac:dyDescent="0.25">
      <c r="A97" s="2" t="s">
        <v>113</v>
      </c>
      <c r="B97" s="3"/>
      <c r="C97" s="3"/>
      <c r="D97" s="3"/>
      <c r="E97" s="3"/>
      <c r="F97" s="11"/>
      <c r="G97" s="10"/>
      <c r="H97" s="6"/>
    </row>
    <row r="98" spans="1:9" s="3" customFormat="1" x14ac:dyDescent="0.25">
      <c r="A98" t="s">
        <v>311</v>
      </c>
      <c r="B98" t="s">
        <v>170</v>
      </c>
      <c r="C98" t="s">
        <v>171</v>
      </c>
      <c r="D98" t="s">
        <v>69</v>
      </c>
      <c r="E98">
        <v>2500</v>
      </c>
      <c r="F98" s="10">
        <v>718</v>
      </c>
      <c r="G98" s="11">
        <v>244600</v>
      </c>
      <c r="H98" s="6">
        <f>+Table1[[#This Row],[Margin]]/Table1[[#This Row],[Contract Value]]</f>
        <v>2.9354047424366312E-3</v>
      </c>
    </row>
    <row r="99" spans="1:9" x14ac:dyDescent="0.25">
      <c r="F99" s="10"/>
      <c r="G99" s="10"/>
      <c r="H99" s="6"/>
    </row>
    <row r="100" spans="1:9" x14ac:dyDescent="0.25">
      <c r="A100" s="4" t="s">
        <v>362</v>
      </c>
      <c r="F100" s="10"/>
      <c r="G100" s="10"/>
      <c r="H100" s="6"/>
    </row>
    <row r="101" spans="1:9" x14ac:dyDescent="0.25">
      <c r="A101" s="2" t="s">
        <v>59</v>
      </c>
      <c r="F101" s="10"/>
      <c r="G101" s="10"/>
      <c r="H101" s="6"/>
    </row>
    <row r="102" spans="1:9" x14ac:dyDescent="0.25">
      <c r="A102" t="s">
        <v>184</v>
      </c>
      <c r="B102" t="s">
        <v>187</v>
      </c>
      <c r="C102" t="s">
        <v>188</v>
      </c>
      <c r="D102" t="s">
        <v>189</v>
      </c>
      <c r="E102">
        <v>50</v>
      </c>
      <c r="F102" s="10">
        <v>2490</v>
      </c>
      <c r="G102" s="10">
        <v>20700</v>
      </c>
      <c r="H102" s="6">
        <f>+Table1[[#This Row],[Margin]]/Table1[[#This Row],[Contract Value]]</f>
        <v>0.12028985507246377</v>
      </c>
    </row>
    <row r="103" spans="1:9" x14ac:dyDescent="0.25">
      <c r="A103" t="s">
        <v>186</v>
      </c>
      <c r="B103" t="s">
        <v>192</v>
      </c>
      <c r="C103" t="s">
        <v>193</v>
      </c>
      <c r="D103" t="s">
        <v>189</v>
      </c>
      <c r="E103">
        <v>50</v>
      </c>
      <c r="F103" s="10">
        <v>4957</v>
      </c>
      <c r="G103" s="10">
        <v>42425</v>
      </c>
      <c r="H103" s="6">
        <f>+Table1[[#This Row],[Margin]]/Table1[[#This Row],[Contract Value]]</f>
        <v>0.11684148497348262</v>
      </c>
    </row>
    <row r="104" spans="1:9" x14ac:dyDescent="0.25">
      <c r="A104" t="s">
        <v>312</v>
      </c>
      <c r="B104" t="s">
        <v>194</v>
      </c>
      <c r="C104" t="s">
        <v>195</v>
      </c>
      <c r="D104" t="s">
        <v>189</v>
      </c>
      <c r="E104">
        <v>50</v>
      </c>
      <c r="F104" s="10">
        <v>2773</v>
      </c>
      <c r="G104" s="10">
        <v>18175</v>
      </c>
      <c r="H104" s="6">
        <f>+Table1[[#This Row],[Margin]]/Table1[[#This Row],[Contract Value]]</f>
        <v>0.15257221458046769</v>
      </c>
      <c r="I104">
        <v>925.60239999999999</v>
      </c>
    </row>
    <row r="105" spans="1:9" x14ac:dyDescent="0.25">
      <c r="A105" s="4"/>
      <c r="F105" s="10"/>
      <c r="G105" s="10"/>
      <c r="H105" s="6"/>
    </row>
    <row r="106" spans="1:9" x14ac:dyDescent="0.25">
      <c r="A106" s="2" t="s">
        <v>39</v>
      </c>
      <c r="F106" s="10"/>
      <c r="G106" s="10"/>
      <c r="H106" s="6"/>
    </row>
    <row r="107" spans="1:9" x14ac:dyDescent="0.25">
      <c r="A107" t="s">
        <v>185</v>
      </c>
      <c r="B107" t="s">
        <v>190</v>
      </c>
      <c r="C107" t="s">
        <v>191</v>
      </c>
      <c r="D107" t="s">
        <v>189</v>
      </c>
      <c r="E107">
        <v>10</v>
      </c>
      <c r="F107" s="10">
        <v>7947</v>
      </c>
      <c r="G107" s="10">
        <v>62550</v>
      </c>
      <c r="H107" s="6">
        <f>+Table1[[#This Row],[Margin]]/Table1[[#This Row],[Contract Value]]</f>
        <v>0.12705035971223022</v>
      </c>
    </row>
    <row r="108" spans="1:9" x14ac:dyDescent="0.25">
      <c r="F108" s="10"/>
      <c r="G108" s="10"/>
      <c r="H108" s="6"/>
    </row>
    <row r="109" spans="1:9" x14ac:dyDescent="0.25">
      <c r="A109" s="4" t="s">
        <v>375</v>
      </c>
      <c r="F109" s="10"/>
      <c r="G109" s="10"/>
      <c r="H109" s="6"/>
    </row>
    <row r="110" spans="1:9" x14ac:dyDescent="0.25">
      <c r="A110" s="2" t="s">
        <v>100</v>
      </c>
      <c r="F110" s="10"/>
      <c r="G110" s="10"/>
      <c r="H110" s="6"/>
    </row>
    <row r="111" spans="1:9" x14ac:dyDescent="0.25">
      <c r="A111" s="3" t="s">
        <v>212</v>
      </c>
      <c r="B111" t="s">
        <v>219</v>
      </c>
      <c r="C111" t="s">
        <v>220</v>
      </c>
      <c r="D111" t="s">
        <v>189</v>
      </c>
      <c r="E111">
        <v>1000</v>
      </c>
      <c r="F111" s="10">
        <v>3567.2919999999999</v>
      </c>
      <c r="G111" s="10">
        <v>154250</v>
      </c>
      <c r="H111" s="6">
        <f>+Table1[[#This Row],[Margin]]/Table1[[#This Row],[Contract Value]]</f>
        <v>2.3126690437601297E-2</v>
      </c>
    </row>
    <row r="112" spans="1:9" x14ac:dyDescent="0.25">
      <c r="A112" s="3" t="s">
        <v>213</v>
      </c>
      <c r="B112" t="s">
        <v>221</v>
      </c>
      <c r="C112" t="s">
        <v>222</v>
      </c>
      <c r="D112" t="s">
        <v>189</v>
      </c>
      <c r="E112">
        <v>1000</v>
      </c>
      <c r="F112" s="10">
        <v>1843.577</v>
      </c>
      <c r="G112" s="10">
        <v>127940</v>
      </c>
      <c r="H112" s="6">
        <f>+Table1[[#This Row],[Margin]]/Table1[[#This Row],[Contract Value]]</f>
        <v>1.4409699859309051E-2</v>
      </c>
    </row>
    <row r="113" spans="1:8" x14ac:dyDescent="0.25">
      <c r="A113" s="3" t="s">
        <v>214</v>
      </c>
      <c r="B113" t="s">
        <v>223</v>
      </c>
      <c r="C113" t="s">
        <v>224</v>
      </c>
      <c r="D113" t="s">
        <v>189</v>
      </c>
      <c r="E113">
        <v>1000</v>
      </c>
      <c r="F113" s="10">
        <v>599.35500000000002</v>
      </c>
      <c r="G113" s="10">
        <v>110560</v>
      </c>
      <c r="H113" s="6">
        <f>+Table1[[#This Row],[Margin]]/Table1[[#This Row],[Contract Value]]</f>
        <v>5.421083574529667E-3</v>
      </c>
    </row>
    <row r="114" spans="1:8" x14ac:dyDescent="0.25">
      <c r="A114" s="3" t="s">
        <v>215</v>
      </c>
      <c r="B114" t="s">
        <v>225</v>
      </c>
      <c r="C114" t="s">
        <v>226</v>
      </c>
      <c r="D114" t="s">
        <v>189</v>
      </c>
      <c r="E114">
        <v>1000</v>
      </c>
      <c r="F114" s="10">
        <v>3644.01</v>
      </c>
      <c r="G114" s="10">
        <v>130160</v>
      </c>
      <c r="H114" s="6">
        <f>+Table1[[#This Row],[Margin]]/Table1[[#This Row],[Contract Value]]</f>
        <v>2.7996389059618931E-2</v>
      </c>
    </row>
    <row r="115" spans="1:8" x14ac:dyDescent="0.25">
      <c r="A115" s="3" t="s">
        <v>216</v>
      </c>
      <c r="B115" t="s">
        <v>227</v>
      </c>
      <c r="C115" t="s">
        <v>228</v>
      </c>
      <c r="D115" t="s">
        <v>189</v>
      </c>
      <c r="E115">
        <v>1000</v>
      </c>
      <c r="F115" s="10">
        <v>1214.74</v>
      </c>
      <c r="G115" s="10">
        <v>110140</v>
      </c>
      <c r="H115" s="6">
        <f>+Table1[[#This Row],[Margin]]/Table1[[#This Row],[Contract Value]]</f>
        <v>1.1029053931360087E-2</v>
      </c>
    </row>
    <row r="116" spans="1:8" x14ac:dyDescent="0.25">
      <c r="A116" s="3" t="s">
        <v>217</v>
      </c>
      <c r="B116" t="s">
        <v>162</v>
      </c>
      <c r="C116" t="s">
        <v>229</v>
      </c>
      <c r="D116" t="s">
        <v>189</v>
      </c>
      <c r="E116">
        <v>1000</v>
      </c>
      <c r="F116" s="10">
        <v>7384.4290000000001</v>
      </c>
      <c r="G116" s="10">
        <v>171060</v>
      </c>
      <c r="H116" s="6">
        <f>+Table1[[#This Row],[Margin]]/Table1[[#This Row],[Contract Value]]</f>
        <v>4.3168648427452355E-2</v>
      </c>
    </row>
    <row r="117" spans="1:8" x14ac:dyDescent="0.25">
      <c r="A117" s="3" t="s">
        <v>322</v>
      </c>
      <c r="B117" t="s">
        <v>323</v>
      </c>
      <c r="C117" t="s">
        <v>324</v>
      </c>
      <c r="D117" t="s">
        <v>189</v>
      </c>
      <c r="E117">
        <v>1000</v>
      </c>
      <c r="F117" s="10">
        <v>3413.4340000000002</v>
      </c>
      <c r="G117" s="10">
        <v>146150</v>
      </c>
      <c r="H117" s="6">
        <f>+Table1[[#This Row],[Margin]]/Table1[[#This Row],[Contract Value]]</f>
        <v>2.3355689360246325E-2</v>
      </c>
    </row>
    <row r="118" spans="1:8" x14ac:dyDescent="0.25">
      <c r="A118" s="4"/>
      <c r="F118" s="10"/>
      <c r="G118" s="10"/>
      <c r="H118" s="6"/>
    </row>
    <row r="119" spans="1:8" x14ac:dyDescent="0.25">
      <c r="A119" s="2" t="s">
        <v>39</v>
      </c>
      <c r="F119" s="10"/>
      <c r="G119" s="10"/>
      <c r="H119" s="6"/>
    </row>
    <row r="120" spans="1:8" x14ac:dyDescent="0.25">
      <c r="A120" s="3" t="s">
        <v>196</v>
      </c>
      <c r="B120" t="s">
        <v>197</v>
      </c>
      <c r="C120" t="s">
        <v>198</v>
      </c>
      <c r="D120" t="s">
        <v>189</v>
      </c>
      <c r="E120">
        <v>10</v>
      </c>
      <c r="F120" s="10">
        <v>3842.5729999999999</v>
      </c>
      <c r="G120" s="10">
        <v>36340</v>
      </c>
      <c r="H120" s="6">
        <f>+Table1[[#This Row],[Margin]]/Table1[[#This Row],[Contract Value]]</f>
        <v>0.10573948816730874</v>
      </c>
    </row>
    <row r="121" spans="1:8" x14ac:dyDescent="0.25">
      <c r="A121" s="3" t="s">
        <v>313</v>
      </c>
      <c r="B121" t="s">
        <v>199</v>
      </c>
      <c r="C121" t="s">
        <v>199</v>
      </c>
      <c r="D121" t="s">
        <v>189</v>
      </c>
      <c r="E121">
        <v>100</v>
      </c>
      <c r="F121" s="10">
        <v>752.875</v>
      </c>
      <c r="G121" s="10">
        <v>3075</v>
      </c>
      <c r="H121" s="6">
        <f>+Table1[[#This Row],[Margin]]/Table1[[#This Row],[Contract Value]]</f>
        <v>0.24483739837398374</v>
      </c>
    </row>
    <row r="122" spans="1:8" x14ac:dyDescent="0.25">
      <c r="A122" s="3" t="s">
        <v>200</v>
      </c>
      <c r="B122" t="s">
        <v>201</v>
      </c>
      <c r="C122" t="s">
        <v>202</v>
      </c>
      <c r="D122" t="s">
        <v>189</v>
      </c>
      <c r="E122">
        <v>50</v>
      </c>
      <c r="F122" s="10">
        <v>1940.604</v>
      </c>
      <c r="G122" s="10">
        <v>21350</v>
      </c>
      <c r="H122" s="6">
        <f>+Table1[[#This Row],[Margin]]/Table1[[#This Row],[Contract Value]]</f>
        <v>9.0894800936768147E-2</v>
      </c>
    </row>
    <row r="123" spans="1:8" x14ac:dyDescent="0.25">
      <c r="A123" s="3" t="s">
        <v>203</v>
      </c>
      <c r="B123" t="s">
        <v>204</v>
      </c>
      <c r="C123" t="s">
        <v>205</v>
      </c>
      <c r="D123" t="s">
        <v>189</v>
      </c>
      <c r="E123">
        <v>25</v>
      </c>
      <c r="F123" s="10">
        <v>36454</v>
      </c>
      <c r="G123" s="10">
        <v>347150</v>
      </c>
      <c r="H123" s="6">
        <f>+Table1[[#This Row],[Margin]]/Table1[[#This Row],[Contract Value]]</f>
        <v>0.10500936194728504</v>
      </c>
    </row>
    <row r="124" spans="1:8" x14ac:dyDescent="0.25">
      <c r="A124" s="3" t="s">
        <v>206</v>
      </c>
      <c r="B124" t="s">
        <v>72</v>
      </c>
      <c r="C124" t="s">
        <v>207</v>
      </c>
      <c r="D124" t="s">
        <v>208</v>
      </c>
      <c r="E124">
        <v>10</v>
      </c>
      <c r="F124" s="10">
        <v>8830.2430000000004</v>
      </c>
      <c r="G124" s="10">
        <v>115730</v>
      </c>
      <c r="H124" s="6">
        <f>+Table1[[#This Row],[Margin]]/Table1[[#This Row],[Contract Value]]</f>
        <v>7.6300380195282125E-2</v>
      </c>
    </row>
    <row r="125" spans="1:8" x14ac:dyDescent="0.25">
      <c r="A125" s="3" t="s">
        <v>209</v>
      </c>
      <c r="B125" t="s">
        <v>210</v>
      </c>
      <c r="C125" t="s">
        <v>211</v>
      </c>
      <c r="D125" t="s">
        <v>29</v>
      </c>
      <c r="E125">
        <v>100</v>
      </c>
      <c r="F125" s="10">
        <v>5121.3729999999996</v>
      </c>
      <c r="G125" s="10">
        <v>57900</v>
      </c>
      <c r="H125" s="6">
        <f>+Table1[[#This Row],[Margin]]/Table1[[#This Row],[Contract Value]]</f>
        <v>8.845203799654576E-2</v>
      </c>
    </row>
    <row r="126" spans="1:8" x14ac:dyDescent="0.25">
      <c r="A126" s="3"/>
      <c r="F126" s="10"/>
      <c r="G126" s="10"/>
      <c r="H126" s="6"/>
    </row>
    <row r="127" spans="1:8" ht="15.75" customHeight="1" x14ac:dyDescent="0.25">
      <c r="F127" s="10"/>
      <c r="G127" s="10"/>
      <c r="H127" s="6"/>
    </row>
    <row r="128" spans="1:8" x14ac:dyDescent="0.25">
      <c r="A128" s="4" t="s">
        <v>376</v>
      </c>
      <c r="F128" s="10"/>
      <c r="G128" s="10"/>
      <c r="H128" s="6"/>
    </row>
    <row r="129" spans="1:8" x14ac:dyDescent="0.25">
      <c r="A129" s="2" t="s">
        <v>76</v>
      </c>
      <c r="F129" s="10"/>
      <c r="G129" s="10"/>
      <c r="H129" s="6"/>
    </row>
    <row r="130" spans="1:8" x14ac:dyDescent="0.25">
      <c r="A130" t="s">
        <v>254</v>
      </c>
      <c r="B130" t="s">
        <v>255</v>
      </c>
      <c r="C130" t="s">
        <v>256</v>
      </c>
      <c r="D130" t="s">
        <v>257</v>
      </c>
      <c r="E130">
        <v>100000</v>
      </c>
      <c r="F130" s="10">
        <v>12967</v>
      </c>
      <c r="G130" s="10">
        <v>681000</v>
      </c>
      <c r="H130" s="6">
        <f>+Table1[[#This Row],[Margin]]/Table1[[#This Row],[Contract Value]]</f>
        <v>1.9041116005873715E-2</v>
      </c>
    </row>
    <row r="131" spans="1:8" x14ac:dyDescent="0.25">
      <c r="A131" s="4"/>
      <c r="F131" s="10"/>
      <c r="G131" s="10"/>
      <c r="H131" s="6"/>
    </row>
    <row r="132" spans="1:8" x14ac:dyDescent="0.25">
      <c r="A132" s="2" t="s">
        <v>39</v>
      </c>
      <c r="F132" s="10"/>
      <c r="G132" s="10"/>
      <c r="H132" s="6"/>
    </row>
    <row r="133" spans="1:8" x14ac:dyDescent="0.25">
      <c r="A133" t="s">
        <v>247</v>
      </c>
      <c r="B133" t="s">
        <v>249</v>
      </c>
      <c r="C133" t="s">
        <v>250</v>
      </c>
      <c r="D133" t="s">
        <v>251</v>
      </c>
      <c r="E133">
        <v>50</v>
      </c>
      <c r="F133" s="10">
        <v>122892</v>
      </c>
      <c r="G133" s="10">
        <v>988100</v>
      </c>
      <c r="H133" s="6">
        <f>+Table1[[#This Row],[Margin]]/Table1[[#This Row],[Contract Value]]</f>
        <v>0.12437202712276085</v>
      </c>
    </row>
    <row r="134" spans="1:8" x14ac:dyDescent="0.25">
      <c r="A134" t="s">
        <v>248</v>
      </c>
      <c r="B134" t="s">
        <v>252</v>
      </c>
      <c r="C134" t="s">
        <v>253</v>
      </c>
      <c r="D134" t="s">
        <v>29</v>
      </c>
      <c r="E134">
        <v>25</v>
      </c>
      <c r="F134" s="10">
        <v>5240</v>
      </c>
      <c r="G134" s="10">
        <v>55735</v>
      </c>
      <c r="H134" s="6">
        <f>+Table1[[#This Row],[Margin]]/Table1[[#This Row],[Contract Value]]</f>
        <v>9.4016327262940708E-2</v>
      </c>
    </row>
    <row r="135" spans="1:8" x14ac:dyDescent="0.25">
      <c r="F135" s="10"/>
      <c r="G135" s="10"/>
      <c r="H135" s="6"/>
    </row>
    <row r="136" spans="1:8" x14ac:dyDescent="0.25">
      <c r="A136" s="4" t="s">
        <v>377</v>
      </c>
      <c r="F136" s="10"/>
      <c r="G136" s="10"/>
      <c r="H136" s="6"/>
    </row>
    <row r="137" spans="1:8" x14ac:dyDescent="0.25">
      <c r="A137" s="2" t="s">
        <v>76</v>
      </c>
      <c r="F137" s="10"/>
      <c r="G137" s="10"/>
      <c r="H137" s="6"/>
    </row>
    <row r="138" spans="1:8" x14ac:dyDescent="0.25">
      <c r="A138" t="s">
        <v>260</v>
      </c>
      <c r="B138" t="s">
        <v>263</v>
      </c>
      <c r="C138" t="s">
        <v>264</v>
      </c>
      <c r="D138" t="s">
        <v>258</v>
      </c>
      <c r="E138">
        <v>1000</v>
      </c>
      <c r="F138" s="10">
        <v>773.95</v>
      </c>
      <c r="G138" s="10">
        <v>77395</v>
      </c>
      <c r="H138" s="6">
        <f>+Table1[[#This Row],[Margin]]/Table1[[#This Row],[Contract Value]]</f>
        <v>0.01</v>
      </c>
    </row>
    <row r="139" spans="1:8" x14ac:dyDescent="0.25">
      <c r="A139" s="4"/>
      <c r="F139" s="10"/>
      <c r="G139" s="10"/>
      <c r="H139" s="6"/>
    </row>
    <row r="140" spans="1:8" x14ac:dyDescent="0.25">
      <c r="A140" s="2" t="s">
        <v>39</v>
      </c>
      <c r="F140" s="10"/>
      <c r="G140" s="10"/>
      <c r="H140" s="6"/>
    </row>
    <row r="141" spans="1:8" x14ac:dyDescent="0.25">
      <c r="A141" t="s">
        <v>259</v>
      </c>
      <c r="B141" t="s">
        <v>261</v>
      </c>
      <c r="C141" t="s">
        <v>262</v>
      </c>
      <c r="D141" t="s">
        <v>258</v>
      </c>
      <c r="E141">
        <v>50</v>
      </c>
      <c r="F141" s="10"/>
      <c r="G141" s="10">
        <v>802015</v>
      </c>
      <c r="H141" s="6">
        <f>+Table1[[#This Row],[Margin]]/Table1[[#This Row],[Contract Value]]</f>
        <v>0</v>
      </c>
    </row>
    <row r="142" spans="1:8" x14ac:dyDescent="0.25">
      <c r="F142" s="10"/>
      <c r="G142" s="10"/>
      <c r="H142" s="6"/>
    </row>
    <row r="143" spans="1:8" x14ac:dyDescent="0.25">
      <c r="A143" s="4" t="s">
        <v>378</v>
      </c>
      <c r="F143" s="10"/>
      <c r="G143" s="10"/>
      <c r="H143" s="6"/>
    </row>
    <row r="144" spans="1:8" x14ac:dyDescent="0.25">
      <c r="A144" s="2" t="s">
        <v>39</v>
      </c>
      <c r="F144" s="10"/>
      <c r="G144" s="10"/>
      <c r="H144" s="6"/>
    </row>
    <row r="145" spans="1:8" x14ac:dyDescent="0.25">
      <c r="A145" t="s">
        <v>230</v>
      </c>
      <c r="B145" t="s">
        <v>231</v>
      </c>
      <c r="C145" t="s">
        <v>389</v>
      </c>
      <c r="D145" t="s">
        <v>189</v>
      </c>
      <c r="E145">
        <v>5</v>
      </c>
      <c r="F145" s="10">
        <v>14375</v>
      </c>
      <c r="G145" s="10">
        <v>117350</v>
      </c>
      <c r="H145" s="6">
        <f>+Table1[[#This Row],[Margin]]/Table1[[#This Row],[Contract Value]]</f>
        <v>0.12249680443118875</v>
      </c>
    </row>
    <row r="146" spans="1:8" x14ac:dyDescent="0.25">
      <c r="F146" s="10"/>
      <c r="G146" s="10"/>
      <c r="H146" s="6"/>
    </row>
    <row r="147" spans="1:8" x14ac:dyDescent="0.25">
      <c r="A147" s="4" t="s">
        <v>379</v>
      </c>
      <c r="F147" s="10"/>
      <c r="G147" s="10"/>
      <c r="H147" s="6"/>
    </row>
    <row r="148" spans="1:8" x14ac:dyDescent="0.25">
      <c r="A148" s="2" t="s">
        <v>100</v>
      </c>
      <c r="F148" s="10"/>
      <c r="G148" s="10"/>
      <c r="H148" s="6"/>
    </row>
    <row r="149" spans="1:8" x14ac:dyDescent="0.25">
      <c r="A149" t="s">
        <v>271</v>
      </c>
      <c r="B149" t="s">
        <v>272</v>
      </c>
      <c r="C149" t="s">
        <v>273</v>
      </c>
      <c r="D149" s="7" t="s">
        <v>320</v>
      </c>
      <c r="E149">
        <v>1000000</v>
      </c>
      <c r="F149" s="10">
        <v>600000</v>
      </c>
      <c r="G149" s="10">
        <v>149460000</v>
      </c>
      <c r="H149" s="6">
        <f>+Table1[[#This Row],[Margin]]/Table1[[#This Row],[Contract Value]]</f>
        <v>4.0144520272982738E-3</v>
      </c>
    </row>
    <row r="150" spans="1:8" x14ac:dyDescent="0.25">
      <c r="A150" s="4"/>
      <c r="F150" s="10"/>
      <c r="G150" s="10"/>
      <c r="H150" s="6"/>
    </row>
    <row r="151" spans="1:8" x14ac:dyDescent="0.25">
      <c r="A151" s="2" t="s">
        <v>39</v>
      </c>
      <c r="F151" s="10"/>
      <c r="G151" s="10"/>
      <c r="H151" s="6"/>
    </row>
    <row r="152" spans="1:8" x14ac:dyDescent="0.25">
      <c r="A152" t="s">
        <v>28</v>
      </c>
      <c r="B152" t="s">
        <v>267</v>
      </c>
      <c r="C152">
        <v>225</v>
      </c>
      <c r="D152" s="7" t="s">
        <v>320</v>
      </c>
      <c r="E152">
        <v>1000</v>
      </c>
      <c r="F152" s="10">
        <v>1500000</v>
      </c>
      <c r="G152" s="10">
        <v>26420000</v>
      </c>
      <c r="H152" s="6">
        <f>+Table1[[#This Row],[Margin]]/Table1[[#This Row],[Contract Value]]</f>
        <v>5.6775170325510979E-2</v>
      </c>
    </row>
    <row r="153" spans="1:8" x14ac:dyDescent="0.25">
      <c r="A153" t="s">
        <v>265</v>
      </c>
      <c r="B153" t="s">
        <v>268</v>
      </c>
      <c r="C153" t="s">
        <v>269</v>
      </c>
      <c r="D153" s="7" t="s">
        <v>320</v>
      </c>
      <c r="E153">
        <v>10000</v>
      </c>
      <c r="F153" s="10">
        <v>945000</v>
      </c>
      <c r="G153" s="10">
        <v>18650000</v>
      </c>
      <c r="H153" s="6">
        <f>+Table1[[#This Row],[Margin]]/Table1[[#This Row],[Contract Value]]</f>
        <v>5.0670241286863274E-2</v>
      </c>
    </row>
    <row r="154" spans="1:8" x14ac:dyDescent="0.25">
      <c r="A154" t="s">
        <v>266</v>
      </c>
      <c r="B154" t="s">
        <v>270</v>
      </c>
      <c r="C154">
        <v>400</v>
      </c>
      <c r="D154" s="7" t="s">
        <v>320</v>
      </c>
      <c r="E154">
        <v>100</v>
      </c>
      <c r="F154" s="10">
        <v>85000</v>
      </c>
      <c r="G154" s="10">
        <v>1679500</v>
      </c>
      <c r="H154" s="6">
        <f>+Table1[[#This Row],[Margin]]/Table1[[#This Row],[Contract Value]]</f>
        <v>5.0610300684727598E-2</v>
      </c>
    </row>
    <row r="155" spans="1:8" x14ac:dyDescent="0.25">
      <c r="D155" s="7"/>
      <c r="F155" s="10"/>
      <c r="G155" s="10"/>
      <c r="H155" s="6"/>
    </row>
    <row r="156" spans="1:8" x14ac:dyDescent="0.25">
      <c r="A156" s="4" t="s">
        <v>380</v>
      </c>
      <c r="F156" s="10"/>
      <c r="G156" s="10"/>
      <c r="H156" s="6"/>
    </row>
    <row r="157" spans="1:8" x14ac:dyDescent="0.25">
      <c r="A157" s="2" t="s">
        <v>100</v>
      </c>
      <c r="C157" s="5"/>
      <c r="F157" s="10"/>
      <c r="G157" s="10"/>
      <c r="H157" s="6"/>
    </row>
    <row r="158" spans="1:8" x14ac:dyDescent="0.25">
      <c r="A158" t="s">
        <v>305</v>
      </c>
      <c r="B158" t="s">
        <v>143</v>
      </c>
      <c r="C158" s="5" t="s">
        <v>315</v>
      </c>
      <c r="D158" t="s">
        <v>301</v>
      </c>
      <c r="E158">
        <v>1000000</v>
      </c>
      <c r="F158" s="10">
        <v>1504799.95</v>
      </c>
      <c r="G158" s="10">
        <v>105600000</v>
      </c>
      <c r="H158" s="6">
        <f>+Table1[[#This Row],[Margin]]/Table1[[#This Row],[Contract Value]]</f>
        <v>1.424999952651515E-2</v>
      </c>
    </row>
    <row r="159" spans="1:8" x14ac:dyDescent="0.25">
      <c r="A159" t="s">
        <v>306</v>
      </c>
      <c r="B159" t="s">
        <v>307</v>
      </c>
      <c r="C159" s="5" t="s">
        <v>316</v>
      </c>
      <c r="D159" t="s">
        <v>301</v>
      </c>
      <c r="E159">
        <v>1000000</v>
      </c>
      <c r="F159" s="10">
        <v>3647778.077</v>
      </c>
      <c r="G159" s="10">
        <v>114710000</v>
      </c>
      <c r="H159" s="6">
        <f>+Table1[[#This Row],[Margin]]/Table1[[#This Row],[Contract Value]]</f>
        <v>3.1800000671257954E-2</v>
      </c>
    </row>
    <row r="160" spans="1:8" x14ac:dyDescent="0.25">
      <c r="C160" s="5"/>
      <c r="F160" s="10"/>
      <c r="G160" s="10"/>
      <c r="H160" s="6"/>
    </row>
    <row r="161" spans="1:8" x14ac:dyDescent="0.25">
      <c r="A161" s="2" t="s">
        <v>76</v>
      </c>
      <c r="F161" s="10"/>
      <c r="G161" s="10"/>
      <c r="H161" s="6"/>
    </row>
    <row r="162" spans="1:8" x14ac:dyDescent="0.25">
      <c r="A162" t="s">
        <v>308</v>
      </c>
      <c r="B162" t="s">
        <v>309</v>
      </c>
      <c r="C162">
        <v>75</v>
      </c>
      <c r="D162" t="s">
        <v>301</v>
      </c>
      <c r="E162">
        <v>10000</v>
      </c>
      <c r="F162" s="10">
        <v>501033.01199999999</v>
      </c>
      <c r="G162" s="10">
        <v>12847000</v>
      </c>
      <c r="H162" s="6">
        <f>+Table1[[#This Row],[Margin]]/Table1[[#This Row],[Contract Value]]</f>
        <v>3.900000093407021E-2</v>
      </c>
    </row>
    <row r="163" spans="1:8" x14ac:dyDescent="0.25">
      <c r="A163" s="4"/>
      <c r="F163" s="10"/>
      <c r="G163" s="10"/>
      <c r="H163" s="6"/>
    </row>
    <row r="164" spans="1:8" x14ac:dyDescent="0.25">
      <c r="A164" s="2" t="s">
        <v>39</v>
      </c>
      <c r="F164" s="10"/>
      <c r="G164" s="10"/>
      <c r="H164" s="6"/>
    </row>
    <row r="165" spans="1:8" x14ac:dyDescent="0.25">
      <c r="A165" t="s">
        <v>298</v>
      </c>
      <c r="B165" t="s">
        <v>300</v>
      </c>
      <c r="C165" s="5" t="s">
        <v>302</v>
      </c>
      <c r="D165" t="s">
        <v>301</v>
      </c>
      <c r="E165">
        <v>250000</v>
      </c>
      <c r="F165" s="10">
        <v>8815349.8350000009</v>
      </c>
      <c r="G165" s="10">
        <v>86425000</v>
      </c>
      <c r="H165" s="6">
        <f>+Table1[[#This Row],[Margin]]/Table1[[#This Row],[Contract Value]]</f>
        <v>0.10199999809083021</v>
      </c>
    </row>
    <row r="166" spans="1:8" x14ac:dyDescent="0.25">
      <c r="A166" t="s">
        <v>299</v>
      </c>
      <c r="B166" t="s">
        <v>303</v>
      </c>
      <c r="C166" s="5" t="s">
        <v>304</v>
      </c>
      <c r="D166" t="s">
        <v>301</v>
      </c>
      <c r="E166">
        <v>10000</v>
      </c>
      <c r="F166" s="10">
        <v>1740471.023</v>
      </c>
      <c r="G166" s="10">
        <v>11962000</v>
      </c>
      <c r="H166" s="6">
        <f>+Table1[[#This Row],[Margin]]/Table1[[#This Row],[Contract Value]]</f>
        <v>0.14550000192275539</v>
      </c>
    </row>
    <row r="167" spans="1:8" x14ac:dyDescent="0.25">
      <c r="F167" s="10"/>
      <c r="G167" s="10"/>
      <c r="H167" s="6"/>
    </row>
    <row r="168" spans="1:8" x14ac:dyDescent="0.25">
      <c r="A168" s="4" t="s">
        <v>381</v>
      </c>
      <c r="F168" s="10"/>
      <c r="G168" s="10"/>
      <c r="H168" s="6"/>
    </row>
    <row r="169" spans="1:8" x14ac:dyDescent="0.25">
      <c r="A169" s="2" t="s">
        <v>39</v>
      </c>
      <c r="F169" s="10"/>
      <c r="G169" s="10"/>
      <c r="H169" s="6"/>
    </row>
    <row r="170" spans="1:8" x14ac:dyDescent="0.25">
      <c r="A170" s="3" t="s">
        <v>232</v>
      </c>
      <c r="B170" t="s">
        <v>54</v>
      </c>
      <c r="C170" s="7" t="s">
        <v>233</v>
      </c>
      <c r="D170" t="s">
        <v>189</v>
      </c>
      <c r="E170">
        <v>200</v>
      </c>
      <c r="F170" s="10"/>
      <c r="G170" s="10">
        <v>136590</v>
      </c>
      <c r="H170" s="6">
        <f>+Table1[[#This Row],[Margin]]/Table1[[#This Row],[Contract Value]]</f>
        <v>0</v>
      </c>
    </row>
    <row r="171" spans="1:8" x14ac:dyDescent="0.25">
      <c r="F171" s="10"/>
      <c r="G171" s="10"/>
      <c r="H171" s="6"/>
    </row>
    <row r="172" spans="1:8" x14ac:dyDescent="0.25">
      <c r="A172" s="4" t="s">
        <v>382</v>
      </c>
      <c r="F172" s="10"/>
      <c r="G172" s="10"/>
      <c r="H172" s="6"/>
    </row>
    <row r="173" spans="1:8" x14ac:dyDescent="0.25">
      <c r="A173" s="2" t="s">
        <v>234</v>
      </c>
      <c r="F173" s="10"/>
      <c r="G173" s="10"/>
      <c r="H173" s="6"/>
    </row>
    <row r="174" spans="1:8" x14ac:dyDescent="0.25">
      <c r="A174" t="s">
        <v>238</v>
      </c>
      <c r="B174" t="s">
        <v>239</v>
      </c>
      <c r="C174" t="s">
        <v>240</v>
      </c>
      <c r="D174" t="s">
        <v>189</v>
      </c>
      <c r="E174">
        <v>1000</v>
      </c>
      <c r="F174" s="10">
        <v>12485</v>
      </c>
      <c r="G174" s="10">
        <v>89850</v>
      </c>
      <c r="H174" s="6">
        <f>+Table1[[#This Row],[Margin]]/Table1[[#This Row],[Contract Value]]</f>
        <v>0.13895381190873679</v>
      </c>
    </row>
    <row r="175" spans="1:8" x14ac:dyDescent="0.25">
      <c r="A175" s="4"/>
      <c r="F175" s="10"/>
      <c r="G175" s="10"/>
      <c r="H175" s="6"/>
    </row>
    <row r="176" spans="1:8" x14ac:dyDescent="0.25">
      <c r="A176" s="2" t="s">
        <v>49</v>
      </c>
      <c r="F176" s="10"/>
      <c r="G176" s="10"/>
      <c r="H176" s="6"/>
    </row>
    <row r="177" spans="1:8" x14ac:dyDescent="0.25">
      <c r="A177" t="s">
        <v>235</v>
      </c>
      <c r="B177" t="s">
        <v>236</v>
      </c>
      <c r="C177" t="s">
        <v>237</v>
      </c>
      <c r="D177" t="s">
        <v>189</v>
      </c>
      <c r="E177">
        <v>744</v>
      </c>
      <c r="F177" s="10">
        <v>60706</v>
      </c>
      <c r="G177" s="10">
        <v>74232</v>
      </c>
      <c r="H177" s="6">
        <f>+Table1[[#This Row],[Margin]]/Table1[[#This Row],[Contract Value]]</f>
        <v>0.81778747709882527</v>
      </c>
    </row>
    <row r="178" spans="1:8" x14ac:dyDescent="0.25">
      <c r="F178" s="10"/>
      <c r="G178" s="10"/>
      <c r="H178" s="6"/>
    </row>
    <row r="179" spans="1:8" x14ac:dyDescent="0.25">
      <c r="A179" s="4" t="s">
        <v>383</v>
      </c>
      <c r="F179" s="10"/>
      <c r="G179" s="10"/>
      <c r="H179" s="6"/>
    </row>
    <row r="180" spans="1:8" x14ac:dyDescent="0.25">
      <c r="A180" s="2" t="s">
        <v>76</v>
      </c>
      <c r="F180" s="10"/>
      <c r="G180" s="10"/>
      <c r="H180" s="6"/>
    </row>
    <row r="181" spans="1:8" x14ac:dyDescent="0.25">
      <c r="A181" t="s">
        <v>290</v>
      </c>
      <c r="B181" t="s">
        <v>291</v>
      </c>
      <c r="C181" t="s">
        <v>292</v>
      </c>
      <c r="D181" t="s">
        <v>29</v>
      </c>
      <c r="E181">
        <v>200</v>
      </c>
      <c r="F181" s="10">
        <v>605</v>
      </c>
      <c r="G181" s="10">
        <v>25830</v>
      </c>
      <c r="H181" s="6">
        <f>+Table1[[#This Row],[Margin]]/Table1[[#This Row],[Contract Value]]</f>
        <v>2.3422377080913666E-2</v>
      </c>
    </row>
    <row r="182" spans="1:8" x14ac:dyDescent="0.25">
      <c r="A182" t="s">
        <v>254</v>
      </c>
      <c r="B182" t="s">
        <v>293</v>
      </c>
      <c r="C182" t="s">
        <v>294</v>
      </c>
      <c r="D182" t="s">
        <v>257</v>
      </c>
      <c r="E182">
        <v>100000</v>
      </c>
      <c r="F182" s="10">
        <v>11550</v>
      </c>
      <c r="G182" s="10">
        <v>681470</v>
      </c>
      <c r="H182" s="6">
        <f>+Table1[[#This Row],[Margin]]/Table1[[#This Row],[Contract Value]]</f>
        <v>1.6948655113211145E-2</v>
      </c>
    </row>
    <row r="183" spans="1:8" x14ac:dyDescent="0.25">
      <c r="A183" s="4"/>
      <c r="F183" s="10"/>
      <c r="G183" s="10"/>
      <c r="H183" s="6"/>
    </row>
    <row r="184" spans="1:8" x14ac:dyDescent="0.25">
      <c r="A184" s="2" t="s">
        <v>39</v>
      </c>
      <c r="F184" s="10"/>
      <c r="G184" s="10"/>
      <c r="H184" s="6"/>
    </row>
    <row r="185" spans="1:8" x14ac:dyDescent="0.25">
      <c r="A185" t="s">
        <v>274</v>
      </c>
      <c r="B185" t="s">
        <v>278</v>
      </c>
      <c r="C185" t="s">
        <v>179</v>
      </c>
      <c r="D185" t="s">
        <v>29</v>
      </c>
      <c r="E185">
        <v>1</v>
      </c>
      <c r="F185" s="10">
        <v>1045</v>
      </c>
      <c r="G185" s="10">
        <v>13284</v>
      </c>
      <c r="H185" s="6">
        <f>+Table1[[#This Row],[Margin]]/Table1[[#This Row],[Contract Value]]</f>
        <v>7.8666064438422167E-2</v>
      </c>
    </row>
    <row r="186" spans="1:8" x14ac:dyDescent="0.25">
      <c r="A186" t="s">
        <v>275</v>
      </c>
      <c r="B186" t="s">
        <v>279</v>
      </c>
      <c r="C186" t="s">
        <v>280</v>
      </c>
      <c r="D186" t="s">
        <v>29</v>
      </c>
      <c r="E186">
        <v>2</v>
      </c>
      <c r="F186" s="10">
        <v>1760</v>
      </c>
      <c r="G186" s="10">
        <v>32062</v>
      </c>
      <c r="H186" s="6">
        <f>+Table1[[#This Row],[Margin]]/Table1[[#This Row],[Contract Value]]</f>
        <v>5.4893643565591663E-2</v>
      </c>
    </row>
    <row r="187" spans="1:8" x14ac:dyDescent="0.25">
      <c r="A187" t="s">
        <v>276</v>
      </c>
      <c r="B187" t="s">
        <v>281</v>
      </c>
      <c r="C187" t="s">
        <v>282</v>
      </c>
      <c r="D187" t="s">
        <v>29</v>
      </c>
      <c r="E187">
        <v>40</v>
      </c>
      <c r="F187" s="10">
        <v>2970</v>
      </c>
      <c r="G187" s="10">
        <v>55640</v>
      </c>
      <c r="H187" s="6">
        <f>+Table1[[#This Row],[Margin]]/Table1[[#This Row],[Contract Value]]</f>
        <v>5.3378864126527675E-2</v>
      </c>
    </row>
    <row r="188" spans="1:8" x14ac:dyDescent="0.25">
      <c r="A188" t="s">
        <v>28</v>
      </c>
      <c r="B188" t="s">
        <v>283</v>
      </c>
      <c r="C188" t="s">
        <v>267</v>
      </c>
      <c r="D188" t="s">
        <v>320</v>
      </c>
      <c r="E188">
        <v>500</v>
      </c>
      <c r="F188" s="10">
        <v>715000</v>
      </c>
      <c r="G188" s="10">
        <v>13222500</v>
      </c>
      <c r="H188" s="6">
        <f>+Table1[[#This Row],[Margin]]/Table1[[#This Row],[Contract Value]]</f>
        <v>5.4074494233314424E-2</v>
      </c>
    </row>
    <row r="189" spans="1:8" x14ac:dyDescent="0.25">
      <c r="A189" t="s">
        <v>277</v>
      </c>
      <c r="B189" t="s">
        <v>284</v>
      </c>
      <c r="C189" t="s">
        <v>285</v>
      </c>
      <c r="D189" t="s">
        <v>286</v>
      </c>
      <c r="E189">
        <v>100</v>
      </c>
      <c r="F189" s="10">
        <v>1650</v>
      </c>
      <c r="G189" s="10">
        <v>28930</v>
      </c>
      <c r="H189" s="6">
        <f>+Table1[[#This Row],[Margin]]/Table1[[#This Row],[Contract Value]]</f>
        <v>5.7034220532319393E-2</v>
      </c>
    </row>
    <row r="190" spans="1:8" x14ac:dyDescent="0.25">
      <c r="F190" s="10"/>
      <c r="G190" s="10"/>
      <c r="H190" s="6"/>
    </row>
    <row r="191" spans="1:8" x14ac:dyDescent="0.25">
      <c r="A191" s="2" t="s">
        <v>57</v>
      </c>
      <c r="F191" s="10"/>
      <c r="G191" s="10"/>
      <c r="H191" s="6"/>
    </row>
    <row r="192" spans="1:8" x14ac:dyDescent="0.25">
      <c r="A192" t="s">
        <v>287</v>
      </c>
      <c r="B192" t="s">
        <v>288</v>
      </c>
      <c r="C192" t="s">
        <v>289</v>
      </c>
      <c r="D192" t="s">
        <v>29</v>
      </c>
      <c r="E192">
        <v>100</v>
      </c>
      <c r="F192" s="10">
        <v>2970</v>
      </c>
      <c r="G192" s="10">
        <v>12700</v>
      </c>
      <c r="H192" s="6">
        <f>+Table1[[#This Row],[Margin]]/Table1[[#This Row],[Contract Value]]</f>
        <v>0.23385826771653542</v>
      </c>
    </row>
    <row r="193" spans="1:8" x14ac:dyDescent="0.25">
      <c r="A193" t="s">
        <v>295</v>
      </c>
      <c r="B193" t="s">
        <v>296</v>
      </c>
      <c r="C193" t="s">
        <v>297</v>
      </c>
      <c r="D193" t="s">
        <v>29</v>
      </c>
      <c r="E193">
        <v>50</v>
      </c>
      <c r="F193" s="10">
        <v>495</v>
      </c>
      <c r="G193" s="10">
        <v>7890</v>
      </c>
      <c r="H193" s="6">
        <f>+Table1[[#This Row],[Margin]]/Table1[[#This Row],[Contract Value]]</f>
        <v>6.2737642585551326E-2</v>
      </c>
    </row>
    <row r="194" spans="1:8" x14ac:dyDescent="0.25">
      <c r="F194" s="10"/>
      <c r="G194" s="10"/>
      <c r="H194" s="6"/>
    </row>
    <row r="195" spans="1:8" x14ac:dyDescent="0.25">
      <c r="A195" s="4" t="s">
        <v>384</v>
      </c>
      <c r="F195" s="10"/>
      <c r="G195" s="10"/>
      <c r="H195" s="6"/>
    </row>
    <row r="196" spans="1:8" x14ac:dyDescent="0.25">
      <c r="A196" s="2" t="s">
        <v>39</v>
      </c>
      <c r="F196" s="10"/>
      <c r="G196" s="10"/>
      <c r="H196" s="6"/>
    </row>
    <row r="197" spans="1:8" x14ac:dyDescent="0.25">
      <c r="A197" t="s">
        <v>241</v>
      </c>
      <c r="B197" t="s">
        <v>242</v>
      </c>
      <c r="C197" t="s">
        <v>314</v>
      </c>
      <c r="D197" t="s">
        <v>189</v>
      </c>
      <c r="E197">
        <v>10</v>
      </c>
      <c r="F197" s="10">
        <v>9000</v>
      </c>
      <c r="G197" s="10">
        <v>82810</v>
      </c>
      <c r="H197" s="6">
        <f>+Table1[[#This Row],[Margin]]/Table1[[#This Row],[Contract Value]]</f>
        <v>0.10868252626494385</v>
      </c>
    </row>
    <row r="198" spans="1:8" x14ac:dyDescent="0.25">
      <c r="F198" s="10"/>
      <c r="G198" s="10"/>
      <c r="H198" s="6"/>
    </row>
    <row r="199" spans="1:8" x14ac:dyDescent="0.25">
      <c r="A199" s="4" t="s">
        <v>385</v>
      </c>
      <c r="F199" s="10"/>
      <c r="G199" s="10"/>
      <c r="H199" s="6"/>
    </row>
    <row r="200" spans="1:8" x14ac:dyDescent="0.25">
      <c r="A200" s="2" t="s">
        <v>39</v>
      </c>
      <c r="F200" s="10"/>
      <c r="G200" s="10"/>
      <c r="H200" s="6"/>
    </row>
    <row r="201" spans="1:8" x14ac:dyDescent="0.25">
      <c r="A201" s="3" t="s">
        <v>325</v>
      </c>
      <c r="B201" t="s">
        <v>326</v>
      </c>
      <c r="C201" t="s">
        <v>327</v>
      </c>
      <c r="D201" t="s">
        <v>328</v>
      </c>
      <c r="E201">
        <v>100</v>
      </c>
      <c r="F201" s="10">
        <v>15777</v>
      </c>
      <c r="G201">
        <v>199000</v>
      </c>
      <c r="H201" s="6">
        <f>+Table1[[#This Row],[Margin]]/Table1[[#This Row],[Contract Value]]</f>
        <v>7.9281407035175874E-2</v>
      </c>
    </row>
    <row r="202" spans="1:8" x14ac:dyDescent="0.25">
      <c r="F202" s="10"/>
      <c r="G202" s="10"/>
      <c r="H202" s="6"/>
    </row>
    <row r="203" spans="1:8" x14ac:dyDescent="0.25">
      <c r="A203" s="4" t="s">
        <v>386</v>
      </c>
      <c r="F203" s="10"/>
      <c r="G203" s="10"/>
      <c r="H203" s="6"/>
    </row>
    <row r="204" spans="1:8" x14ac:dyDescent="0.25">
      <c r="A204" s="2" t="s">
        <v>100</v>
      </c>
      <c r="F204" s="10"/>
      <c r="G204" s="10"/>
      <c r="H204" s="6"/>
    </row>
    <row r="205" spans="1:8" x14ac:dyDescent="0.25">
      <c r="A205" s="3" t="s">
        <v>333</v>
      </c>
      <c r="B205" t="s">
        <v>335</v>
      </c>
      <c r="C205" t="s">
        <v>336</v>
      </c>
      <c r="D205" t="s">
        <v>329</v>
      </c>
      <c r="E205">
        <v>1000</v>
      </c>
      <c r="F205" s="10">
        <v>2893</v>
      </c>
      <c r="G205" s="10">
        <v>118880</v>
      </c>
      <c r="H205" s="6">
        <f>+Table1[[#This Row],[Margin]]/Table1[[#This Row],[Contract Value]]</f>
        <v>2.4335464333781965E-2</v>
      </c>
    </row>
    <row r="206" spans="1:8" x14ac:dyDescent="0.25">
      <c r="A206" s="3" t="s">
        <v>364</v>
      </c>
      <c r="B206" t="s">
        <v>365</v>
      </c>
      <c r="C206" t="s">
        <v>366</v>
      </c>
      <c r="D206" t="s">
        <v>329</v>
      </c>
      <c r="E206">
        <v>1000</v>
      </c>
      <c r="F206" s="10">
        <v>1595</v>
      </c>
      <c r="G206" s="10">
        <v>110040</v>
      </c>
      <c r="H206" s="6">
        <f>+Table1[[#This Row],[Margin]]/Table1[[#This Row],[Contract Value]]</f>
        <v>1.4494729189385679E-2</v>
      </c>
    </row>
    <row r="207" spans="1:8" x14ac:dyDescent="0.25">
      <c r="A207" s="3" t="s">
        <v>367</v>
      </c>
      <c r="B207" t="s">
        <v>368</v>
      </c>
      <c r="C207" t="s">
        <v>335</v>
      </c>
      <c r="D207" t="s">
        <v>329</v>
      </c>
      <c r="E207">
        <v>1000</v>
      </c>
      <c r="F207" s="10">
        <v>550</v>
      </c>
      <c r="G207" s="10">
        <v>102450</v>
      </c>
      <c r="H207" s="6">
        <f>+Table1[[#This Row],[Margin]]/Table1[[#This Row],[Contract Value]]</f>
        <v>5.3684724255734506E-3</v>
      </c>
    </row>
    <row r="208" spans="1:8" x14ac:dyDescent="0.25">
      <c r="A208" s="3"/>
      <c r="F208" s="10"/>
      <c r="G208" s="10"/>
      <c r="H208" s="6"/>
    </row>
    <row r="209" spans="1:9" x14ac:dyDescent="0.25">
      <c r="A209" s="2" t="s">
        <v>39</v>
      </c>
      <c r="F209" s="10"/>
      <c r="G209" s="10"/>
      <c r="H209" s="6"/>
    </row>
    <row r="210" spans="1:9" x14ac:dyDescent="0.25">
      <c r="A210" s="3" t="s">
        <v>334</v>
      </c>
      <c r="B210" t="s">
        <v>337</v>
      </c>
      <c r="C210" t="s">
        <v>337</v>
      </c>
      <c r="D210" t="s">
        <v>329</v>
      </c>
      <c r="E210">
        <v>10</v>
      </c>
      <c r="F210" s="10">
        <v>5253.6</v>
      </c>
      <c r="G210" s="10">
        <v>73770</v>
      </c>
      <c r="H210" s="6">
        <f>+Table1[[#This Row],[Margin]]/Table1[[#This Row],[Contract Value]]</f>
        <v>7.1215941439609604E-2</v>
      </c>
    </row>
    <row r="211" spans="1:9" x14ac:dyDescent="0.25">
      <c r="A211" s="3"/>
      <c r="F211" s="10"/>
      <c r="G211" s="10"/>
      <c r="H211" s="6"/>
    </row>
    <row r="212" spans="1:9" x14ac:dyDescent="0.25">
      <c r="A212" s="2" t="s">
        <v>113</v>
      </c>
      <c r="F212" s="10"/>
      <c r="G212" s="10"/>
      <c r="H212" s="6"/>
    </row>
    <row r="213" spans="1:9" x14ac:dyDescent="0.25">
      <c r="A213" s="3" t="s">
        <v>330</v>
      </c>
      <c r="B213" t="s">
        <v>331</v>
      </c>
      <c r="C213" t="s">
        <v>332</v>
      </c>
      <c r="D213" t="s">
        <v>189</v>
      </c>
      <c r="E213">
        <v>2500</v>
      </c>
      <c r="F213" s="10">
        <v>771.38300000000004</v>
      </c>
      <c r="G213" s="10">
        <v>248137.5</v>
      </c>
      <c r="H213" s="6">
        <f>+Table1[[#This Row],[Margin]]/Table1[[#This Row],[Contract Value]]</f>
        <v>3.1086917535640525E-3</v>
      </c>
    </row>
    <row r="214" spans="1:9" x14ac:dyDescent="0.25">
      <c r="A214" s="3"/>
      <c r="F214" s="10"/>
      <c r="G214" s="10"/>
      <c r="H214" s="6"/>
    </row>
    <row r="215" spans="1:9" x14ac:dyDescent="0.25">
      <c r="A215" s="4" t="s">
        <v>387</v>
      </c>
      <c r="F215" s="10"/>
      <c r="G215" s="10"/>
      <c r="H215" s="6"/>
    </row>
    <row r="216" spans="1:9" x14ac:dyDescent="0.25">
      <c r="A216" s="2" t="s">
        <v>57</v>
      </c>
      <c r="F216" s="10"/>
      <c r="G216" s="10"/>
      <c r="H216" s="6"/>
    </row>
    <row r="217" spans="1:9" x14ac:dyDescent="0.25">
      <c r="A217" s="3" t="s">
        <v>338</v>
      </c>
      <c r="B217" t="s">
        <v>339</v>
      </c>
      <c r="C217" t="s">
        <v>340</v>
      </c>
      <c r="D217" t="s">
        <v>29</v>
      </c>
      <c r="E217">
        <v>25</v>
      </c>
      <c r="F217">
        <v>7000</v>
      </c>
      <c r="G217" s="10">
        <v>72538.5</v>
      </c>
      <c r="H217" s="6">
        <f>+Table1[[#This Row],[Margin]]/Table1[[#This Row],[Contract Value]]</f>
        <v>9.6500479055949592E-2</v>
      </c>
    </row>
    <row r="218" spans="1:9" x14ac:dyDescent="0.25">
      <c r="A218" s="3" t="s">
        <v>341</v>
      </c>
      <c r="B218" t="s">
        <v>342</v>
      </c>
      <c r="C218" t="s">
        <v>283</v>
      </c>
      <c r="D218" t="s">
        <v>29</v>
      </c>
      <c r="E218">
        <v>6</v>
      </c>
      <c r="F218">
        <v>36864</v>
      </c>
      <c r="G218" s="10">
        <v>169254</v>
      </c>
      <c r="H218" s="6">
        <f>+Table1[[#This Row],[Margin]]/Table1[[#This Row],[Contract Value]]</f>
        <v>0.21780282888439859</v>
      </c>
    </row>
    <row r="219" spans="1:9" x14ac:dyDescent="0.25">
      <c r="A219" s="3" t="s">
        <v>343</v>
      </c>
      <c r="B219" t="s">
        <v>344</v>
      </c>
      <c r="C219" t="s">
        <v>349</v>
      </c>
      <c r="D219" t="s">
        <v>29</v>
      </c>
      <c r="E219">
        <v>25</v>
      </c>
      <c r="F219">
        <v>3750</v>
      </c>
      <c r="G219" s="10">
        <v>51575</v>
      </c>
      <c r="H219" s="6">
        <f>+Table1[[#This Row],[Margin]]/Table1[[#This Row],[Contract Value]]</f>
        <v>7.2709646146388751E-2</v>
      </c>
    </row>
    <row r="220" spans="1:9" x14ac:dyDescent="0.25">
      <c r="A220" s="3" t="s">
        <v>345</v>
      </c>
      <c r="B220" t="s">
        <v>346</v>
      </c>
      <c r="C220" t="s">
        <v>350</v>
      </c>
      <c r="D220" t="s">
        <v>29</v>
      </c>
      <c r="E220">
        <v>5</v>
      </c>
      <c r="F220">
        <v>21630</v>
      </c>
      <c r="G220" s="10">
        <v>172250</v>
      </c>
      <c r="H220" s="6">
        <f>+Table1[[#This Row],[Margin]]/Table1[[#This Row],[Contract Value]]</f>
        <v>0.12557329462989841</v>
      </c>
      <c r="I220">
        <v>402.21</v>
      </c>
    </row>
    <row r="221" spans="1:9" x14ac:dyDescent="0.25">
      <c r="A221" s="3" t="s">
        <v>347</v>
      </c>
      <c r="B221" t="s">
        <v>348</v>
      </c>
      <c r="C221" t="s">
        <v>394</v>
      </c>
      <c r="D221" t="s">
        <v>29</v>
      </c>
      <c r="E221">
        <v>25</v>
      </c>
      <c r="F221">
        <v>8050</v>
      </c>
      <c r="G221" s="10">
        <v>93276.75</v>
      </c>
      <c r="H221" s="6">
        <f>+Table1[[#This Row],[Margin]]/Table1[[#This Row],[Contract Value]]</f>
        <v>8.6302320781974071E-2</v>
      </c>
    </row>
    <row r="222" spans="1:9" x14ac:dyDescent="0.25">
      <c r="A222" s="3"/>
      <c r="G222" s="10"/>
      <c r="H222" s="6"/>
    </row>
    <row r="223" spans="1:9" x14ac:dyDescent="0.25">
      <c r="A223" s="1" t="s">
        <v>388</v>
      </c>
      <c r="F223" s="10"/>
      <c r="G223" s="10"/>
      <c r="H223" s="6"/>
    </row>
    <row r="224" spans="1:9" x14ac:dyDescent="0.25">
      <c r="A224" s="2" t="s">
        <v>49</v>
      </c>
      <c r="F224" s="10"/>
      <c r="G224" s="10"/>
      <c r="H224" s="6"/>
    </row>
    <row r="225" spans="1:9" x14ac:dyDescent="0.25">
      <c r="A225" s="3" t="s">
        <v>369</v>
      </c>
      <c r="B225" t="s">
        <v>371</v>
      </c>
      <c r="C225" t="s">
        <v>372</v>
      </c>
      <c r="D225" t="s">
        <v>29</v>
      </c>
      <c r="E225">
        <v>1000</v>
      </c>
      <c r="F225" s="10">
        <v>94134</v>
      </c>
      <c r="G225" s="10">
        <v>340500</v>
      </c>
      <c r="H225" s="6">
        <f>+Table1[[#This Row],[Margin]]/Table1[[#This Row],[Contract Value]]</f>
        <v>0.27645814977973571</v>
      </c>
      <c r="I225">
        <v>236.2</v>
      </c>
    </row>
    <row r="226" spans="1:9" x14ac:dyDescent="0.25">
      <c r="A226" s="3" t="s">
        <v>370</v>
      </c>
      <c r="B226" t="s">
        <v>373</v>
      </c>
      <c r="C226" t="s">
        <v>374</v>
      </c>
      <c r="D226" t="s">
        <v>29</v>
      </c>
      <c r="E226">
        <v>1000</v>
      </c>
      <c r="F226" s="10">
        <v>103129</v>
      </c>
      <c r="G226" s="10">
        <v>330700</v>
      </c>
      <c r="H226" s="6">
        <f>+Table1[[#This Row],[Margin]]/Table1[[#This Row],[Contract Value]]</f>
        <v>0.31185061989718776</v>
      </c>
      <c r="I226">
        <v>103.5498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Ferrara</dc:creator>
  <cp:lastModifiedBy>Matteo Ferrara</cp:lastModifiedBy>
  <dcterms:created xsi:type="dcterms:W3CDTF">2021-10-13T12:37:53Z</dcterms:created>
  <dcterms:modified xsi:type="dcterms:W3CDTF">2022-05-28T08:21:56Z</dcterms:modified>
</cp:coreProperties>
</file>